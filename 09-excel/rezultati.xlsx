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j-my.sharepoint.com/personal/matija_pretnar_fmf_uni-lj_si1/Documents/racunalniski-praktikum/predavanja/09-excel/"/>
    </mc:Choice>
  </mc:AlternateContent>
  <xr:revisionPtr revIDLastSave="225" documentId="8_{3926E164-D6C5-474F-A52A-1724516532FA}" xr6:coauthVersionLast="47" xr6:coauthVersionMax="47" xr10:uidLastSave="{1D1F38F8-42F0-B54E-9A0B-60EDBBCFA343}"/>
  <bookViews>
    <workbookView xWindow="0" yWindow="800" windowWidth="34200" windowHeight="21440" activeTab="1" xr2:uid="{00000000-000D-0000-FFFF-FFFF00000000}"/>
  </bookViews>
  <sheets>
    <sheet name="Rezultati" sheetId="46" r:id="rId1"/>
    <sheet name="Analiza" sheetId="70" r:id="rId2"/>
    <sheet name="DN" sheetId="65" r:id="rId3"/>
    <sheet name="I1" sheetId="56" r:id="rId4"/>
    <sheet name="I2" sheetId="62" r:id="rId5"/>
    <sheet name="I3" sheetId="69" r:id="rId6"/>
  </sheets>
  <externalReferences>
    <externalReference r:id="rId7"/>
    <externalReference r:id="rId8"/>
  </externalReferences>
  <definedNames>
    <definedName name="ECTS">#REF!</definedName>
    <definedName name="Kriterij1">'[1]Formule in poimenovani obsegi'!$G$4:$K$4</definedName>
    <definedName name="Kriterij2">'[1]Formule in poimenovani obsegi'!$M$4:$Q$4</definedName>
    <definedName name="Kriterij3">'[1]Formule in poimenovani obsegi'!$S$4:$W$4</definedName>
    <definedName name="MinOcena">#REF!</definedName>
    <definedName name="NajljubsiPredmet">#REF!</definedName>
    <definedName name="Ocene1">'[1]Formule in poimenovani obsegi'!$G$3:$K$3</definedName>
    <definedName name="Ocene2">'[1]Formule in poimenovani obsegi'!$M$3:$Q$3</definedName>
    <definedName name="Ocene3">'[1]Formule in poimenovani obsegi'!$S$3:$W$3</definedName>
    <definedName name="Predmeti">#REF!</definedName>
    <definedName name="_xlnm.Print_Area" localSheetId="3">'I1'!$C:$C,'I1'!$D:$E,'I1'!$L:$L</definedName>
    <definedName name="_xlnm.Print_Area" localSheetId="4">'I2'!$C:$C,'I2'!$D:$E,'I2'!#REF!</definedName>
    <definedName name="_xlnm.Print_Area" localSheetId="5">'I3'!$C:$C,'I3'!$D:$E,'I3'!#REF!</definedName>
    <definedName name="sum_Excel">'[2]MAT-PED'!$C$43</definedName>
    <definedName name="sum_LaTeX">'[2]MAT-PED'!$C$6</definedName>
    <definedName name="Utezi1">#REF!</definedName>
  </definedNames>
  <calcPr calcId="191028"/>
  <pivotCaches>
    <pivotCache cacheId="130" r:id="rId9"/>
    <pivotCache cacheId="152" r:id="rId10"/>
    <pivotCache cacheId="16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65" l="1"/>
  <c r="C84" i="65"/>
  <c r="C157" i="65"/>
  <c r="C67" i="65"/>
  <c r="C34" i="65"/>
  <c r="C92" i="65"/>
  <c r="C106" i="65"/>
  <c r="C107" i="65"/>
  <c r="C170" i="65"/>
  <c r="C108" i="65"/>
  <c r="C109" i="65"/>
  <c r="C47" i="65"/>
  <c r="C3" i="65"/>
  <c r="C154" i="65"/>
  <c r="C123" i="65"/>
  <c r="C94" i="65"/>
  <c r="C72" i="65"/>
  <c r="C143" i="65"/>
  <c r="C96" i="65"/>
  <c r="C77" i="65"/>
  <c r="C101" i="65"/>
  <c r="C60" i="65"/>
  <c r="C111" i="65"/>
  <c r="C103" i="65"/>
  <c r="C124" i="65"/>
  <c r="C52" i="65"/>
  <c r="C83" i="65"/>
  <c r="C171" i="65"/>
  <c r="C167" i="65"/>
  <c r="C88" i="65"/>
  <c r="C85" i="65"/>
  <c r="C126" i="65"/>
  <c r="C68" i="65"/>
  <c r="C38" i="65"/>
  <c r="C43" i="65"/>
  <c r="C133" i="65"/>
  <c r="C45" i="65"/>
  <c r="C44" i="65"/>
  <c r="C164" i="65"/>
  <c r="C150" i="65"/>
  <c r="C26" i="65"/>
  <c r="C28" i="65"/>
  <c r="C37" i="65"/>
  <c r="C51" i="65"/>
  <c r="C98" i="65"/>
  <c r="C58" i="65"/>
  <c r="C147" i="65"/>
  <c r="C113" i="65"/>
  <c r="C112" i="65"/>
  <c r="C66" i="65"/>
  <c r="C97" i="65"/>
  <c r="C116" i="65"/>
  <c r="C87" i="65"/>
  <c r="C78" i="65"/>
  <c r="C149" i="65"/>
  <c r="C53" i="65"/>
  <c r="C114" i="65"/>
  <c r="C138" i="65"/>
  <c r="C131" i="65"/>
  <c r="C172" i="65"/>
  <c r="C81" i="65"/>
  <c r="C71" i="65"/>
  <c r="C166" i="65"/>
  <c r="C35" i="65"/>
  <c r="C74" i="65"/>
  <c r="C5" i="65"/>
  <c r="C152" i="65"/>
  <c r="C86" i="65"/>
  <c r="C39" i="65"/>
  <c r="C79" i="65"/>
  <c r="C168" i="65"/>
  <c r="C54" i="65"/>
  <c r="C119" i="65"/>
  <c r="C24" i="65"/>
  <c r="C153" i="65"/>
  <c r="C163" i="65"/>
  <c r="C65" i="65"/>
  <c r="C148" i="65"/>
  <c r="C63" i="65"/>
  <c r="C110" i="65"/>
  <c r="C62" i="65"/>
  <c r="C115" i="65"/>
  <c r="C145" i="65"/>
  <c r="C49" i="65"/>
  <c r="C19" i="65"/>
  <c r="C17" i="65"/>
  <c r="C36" i="65"/>
  <c r="C42" i="65"/>
  <c r="C160" i="65"/>
  <c r="C151" i="65"/>
  <c r="C128" i="65"/>
  <c r="C12" i="65"/>
  <c r="C135" i="65"/>
  <c r="C70" i="65"/>
  <c r="C162" i="65"/>
  <c r="C118" i="65"/>
  <c r="C117" i="65"/>
  <c r="C100" i="65"/>
  <c r="C95" i="65"/>
  <c r="C129" i="65"/>
  <c r="C146" i="65"/>
  <c r="C41" i="65"/>
  <c r="C105" i="65"/>
  <c r="C134" i="65"/>
  <c r="C155" i="65"/>
  <c r="C14" i="65"/>
  <c r="C69" i="65"/>
  <c r="C82" i="65"/>
  <c r="C80" i="65"/>
  <c r="C99" i="65"/>
  <c r="C75" i="65"/>
  <c r="C59" i="65"/>
  <c r="C91" i="65"/>
  <c r="C120" i="65"/>
  <c r="C90" i="65"/>
  <c r="C50" i="65"/>
  <c r="C93" i="65"/>
  <c r="C73" i="65"/>
  <c r="C104" i="65"/>
  <c r="C142" i="65"/>
  <c r="C57" i="65"/>
  <c r="C137" i="65"/>
  <c r="C30" i="65"/>
  <c r="C64" i="65"/>
  <c r="C76" i="65"/>
  <c r="C56" i="65"/>
  <c r="C18" i="65"/>
  <c r="C23" i="65"/>
  <c r="C40" i="65"/>
  <c r="C89" i="65"/>
  <c r="C130" i="65"/>
  <c r="C132" i="65"/>
  <c r="C156" i="65"/>
  <c r="C16" i="65"/>
  <c r="C102" i="65"/>
  <c r="C20" i="65"/>
  <c r="C55" i="65"/>
  <c r="C33" i="65"/>
  <c r="C21" i="65"/>
  <c r="C139" i="65"/>
  <c r="C159" i="65"/>
  <c r="C169" i="65"/>
  <c r="C25" i="65"/>
  <c r="C46" i="65"/>
  <c r="C27" i="65"/>
  <c r="C136" i="65"/>
  <c r="C127" i="65"/>
  <c r="C125" i="65"/>
  <c r="C122" i="65"/>
  <c r="C22" i="65"/>
  <c r="C121" i="65"/>
  <c r="C141" i="65"/>
  <c r="C158" i="65"/>
  <c r="C31" i="65"/>
  <c r="C161" i="65"/>
  <c r="C29" i="65"/>
  <c r="C48" i="65"/>
  <c r="C173" i="65"/>
  <c r="C32" i="65"/>
  <c r="C165" i="65"/>
  <c r="C10" i="65"/>
  <c r="C11" i="65"/>
  <c r="C140" i="65"/>
  <c r="C144" i="65"/>
  <c r="C7" i="65"/>
  <c r="C4" i="65"/>
  <c r="C13" i="65"/>
  <c r="C6" i="65"/>
  <c r="C8" i="65"/>
  <c r="C9" i="65"/>
  <c r="C15" i="65"/>
  <c r="C23" i="62"/>
  <c r="C3" i="62"/>
  <c r="C24" i="62"/>
  <c r="C6" i="62"/>
  <c r="C35" i="62"/>
  <c r="C36" i="62"/>
  <c r="C16" i="62"/>
  <c r="C41" i="62"/>
  <c r="C25" i="62"/>
  <c r="C12" i="62"/>
  <c r="C26" i="62"/>
  <c r="C17" i="62"/>
  <c r="C18" i="62"/>
  <c r="C19" i="62"/>
  <c r="C27" i="62"/>
  <c r="C28" i="62"/>
  <c r="C33" i="62"/>
  <c r="C42" i="62"/>
  <c r="C4" i="62"/>
  <c r="C29" i="62"/>
  <c r="C30" i="62"/>
  <c r="C39" i="62"/>
  <c r="C20" i="62"/>
  <c r="C13" i="62"/>
  <c r="C7" i="62"/>
  <c r="C14" i="62"/>
  <c r="C31" i="62"/>
  <c r="C37" i="62"/>
  <c r="C5" i="62"/>
  <c r="C8" i="62"/>
  <c r="C34" i="62"/>
  <c r="C9" i="62"/>
  <c r="C32" i="62"/>
  <c r="C21" i="62"/>
  <c r="C40" i="62"/>
  <c r="C15" i="62"/>
  <c r="C38" i="62"/>
  <c r="C10" i="62"/>
  <c r="C11" i="62"/>
  <c r="C22" i="62"/>
  <c r="K23" i="62"/>
  <c r="K3" i="62"/>
  <c r="K24" i="62"/>
  <c r="K6" i="62"/>
  <c r="K35" i="62"/>
  <c r="K36" i="62"/>
  <c r="K16" i="62"/>
  <c r="K41" i="62"/>
  <c r="K25" i="62"/>
  <c r="K12" i="62"/>
  <c r="K26" i="62"/>
  <c r="K17" i="62"/>
  <c r="K18" i="62"/>
  <c r="K19" i="62"/>
  <c r="K27" i="62"/>
  <c r="K28" i="62"/>
  <c r="K33" i="62"/>
  <c r="K42" i="62"/>
  <c r="K4" i="62"/>
  <c r="K29" i="62"/>
  <c r="K30" i="62"/>
  <c r="K39" i="62"/>
  <c r="K20" i="62"/>
  <c r="K13" i="62"/>
  <c r="K7" i="62"/>
  <c r="K14" i="62"/>
  <c r="K31" i="62"/>
  <c r="K37" i="62"/>
  <c r="K5" i="62"/>
  <c r="K8" i="62"/>
  <c r="K34" i="62"/>
  <c r="K9" i="62"/>
  <c r="K32" i="62"/>
  <c r="K21" i="62"/>
  <c r="K40" i="62"/>
  <c r="K15" i="62"/>
  <c r="K38" i="62"/>
  <c r="K10" i="62"/>
  <c r="K11" i="62"/>
  <c r="K22" i="62"/>
  <c r="I255" i="46"/>
  <c r="I72" i="46"/>
  <c r="I301" i="46"/>
  <c r="I70" i="46"/>
  <c r="I55" i="46"/>
  <c r="I243" i="46"/>
  <c r="I42" i="46"/>
  <c r="I104" i="46"/>
  <c r="I125" i="46"/>
  <c r="I38" i="46"/>
  <c r="I131" i="46"/>
  <c r="I36" i="46"/>
  <c r="I52" i="46"/>
  <c r="I109" i="46"/>
  <c r="I56" i="46"/>
  <c r="I119" i="46"/>
  <c r="I43" i="46"/>
  <c r="I171" i="46"/>
  <c r="I264" i="46"/>
  <c r="I58" i="46"/>
  <c r="I96" i="46"/>
  <c r="I75" i="46"/>
  <c r="I50" i="46"/>
  <c r="I226" i="46"/>
  <c r="I258" i="46"/>
  <c r="I139" i="46"/>
  <c r="I39" i="46"/>
  <c r="I246" i="46"/>
  <c r="I100" i="46"/>
  <c r="I286" i="46"/>
  <c r="I159" i="46"/>
  <c r="I123" i="46"/>
  <c r="I63" i="46"/>
  <c r="I267" i="46"/>
  <c r="I224" i="46"/>
  <c r="I294" i="46"/>
  <c r="I144" i="46"/>
  <c r="I180" i="46"/>
  <c r="I61" i="46"/>
  <c r="I62" i="46"/>
  <c r="I67" i="46"/>
  <c r="I285" i="46"/>
  <c r="I51" i="46"/>
  <c r="I170" i="46"/>
  <c r="I79" i="46"/>
  <c r="I44" i="46"/>
  <c r="I57" i="46"/>
  <c r="I60" i="46"/>
  <c r="I68" i="46"/>
  <c r="I48" i="46"/>
  <c r="I155" i="46"/>
  <c r="I133" i="46"/>
  <c r="I35" i="46"/>
  <c r="I160" i="46"/>
  <c r="I186" i="46"/>
  <c r="I172" i="46"/>
  <c r="I114" i="46"/>
  <c r="I93" i="46"/>
  <c r="I111" i="46"/>
  <c r="I174" i="46"/>
  <c r="I151" i="46"/>
  <c r="I91" i="46"/>
  <c r="I147" i="46"/>
  <c r="I145" i="46"/>
  <c r="I34" i="46"/>
  <c r="I121" i="46"/>
  <c r="I149" i="46"/>
  <c r="I92" i="46"/>
  <c r="I116" i="46"/>
  <c r="I99" i="46"/>
  <c r="I188" i="46"/>
  <c r="I176" i="46"/>
  <c r="I118" i="46"/>
  <c r="I112" i="46"/>
  <c r="I190" i="46"/>
  <c r="I142" i="46"/>
  <c r="I316" i="46"/>
  <c r="I153" i="46"/>
  <c r="I182" i="46"/>
  <c r="I152" i="46"/>
  <c r="I69" i="46"/>
  <c r="I135" i="46"/>
  <c r="I124" i="46"/>
  <c r="I185" i="46"/>
  <c r="I230" i="46"/>
  <c r="I54" i="46"/>
  <c r="I279" i="46"/>
  <c r="I269" i="46"/>
  <c r="I284" i="46"/>
  <c r="I244" i="46"/>
  <c r="I235" i="46"/>
  <c r="I211" i="46"/>
  <c r="I260" i="46"/>
  <c r="I287" i="46"/>
  <c r="I222" i="46"/>
  <c r="I277" i="46"/>
  <c r="I268" i="46"/>
  <c r="I262" i="46"/>
  <c r="I71" i="46"/>
  <c r="I271" i="46"/>
  <c r="I231" i="46"/>
  <c r="I101" i="46"/>
  <c r="I141" i="46"/>
  <c r="I245" i="46"/>
  <c r="I220" i="46"/>
  <c r="I221" i="46"/>
  <c r="I140" i="46"/>
  <c r="I303" i="46"/>
  <c r="I41" i="46"/>
  <c r="I37" i="46"/>
  <c r="I59" i="46"/>
  <c r="I47" i="46"/>
  <c r="I254" i="46"/>
  <c r="I45" i="46"/>
  <c r="I308" i="46"/>
  <c r="I317" i="46"/>
  <c r="I162" i="46"/>
  <c r="I90" i="46"/>
  <c r="I198" i="46"/>
  <c r="I251" i="46"/>
  <c r="I290" i="46"/>
  <c r="I214" i="46"/>
  <c r="I215" i="46"/>
  <c r="I319" i="46"/>
  <c r="I216" i="46"/>
  <c r="I218" i="46"/>
  <c r="I126" i="46"/>
  <c r="I4" i="46"/>
  <c r="I298" i="46"/>
  <c r="I241" i="46"/>
  <c r="I200" i="46"/>
  <c r="I168" i="46"/>
  <c r="I280" i="46"/>
  <c r="I202" i="46"/>
  <c r="I178" i="46"/>
  <c r="I207" i="46"/>
  <c r="I150" i="46"/>
  <c r="I223" i="46"/>
  <c r="I209" i="46"/>
  <c r="I242" i="46"/>
  <c r="I132" i="46"/>
  <c r="I189" i="46"/>
  <c r="I275" i="46"/>
  <c r="I320" i="46"/>
  <c r="I314" i="46"/>
  <c r="I194" i="46"/>
  <c r="I191" i="46"/>
  <c r="I248" i="46"/>
  <c r="I217" i="46"/>
  <c r="I164" i="46"/>
  <c r="I102" i="46"/>
  <c r="I115" i="46"/>
  <c r="I259" i="46"/>
  <c r="I120" i="46"/>
  <c r="I117" i="46"/>
  <c r="I311" i="46"/>
  <c r="I292" i="46"/>
  <c r="I82" i="46"/>
  <c r="I84" i="46"/>
  <c r="I98" i="46"/>
  <c r="I130" i="46"/>
  <c r="I204" i="46"/>
  <c r="I146" i="46"/>
  <c r="I288" i="46"/>
  <c r="I300" i="46"/>
  <c r="I227" i="46"/>
  <c r="I237" i="46"/>
  <c r="I225" i="46"/>
  <c r="I161" i="46"/>
  <c r="I203" i="46"/>
  <c r="I232" i="46"/>
  <c r="I193" i="46"/>
  <c r="I179" i="46"/>
  <c r="I291" i="46"/>
  <c r="I134" i="46"/>
  <c r="I228" i="46"/>
  <c r="I272" i="46"/>
  <c r="I256" i="46"/>
  <c r="I49" i="46"/>
  <c r="I321" i="46"/>
  <c r="I184" i="46"/>
  <c r="I167" i="46"/>
  <c r="I313" i="46"/>
  <c r="I94" i="46"/>
  <c r="I173" i="46"/>
  <c r="I9" i="46"/>
  <c r="I295" i="46"/>
  <c r="I192" i="46"/>
  <c r="I103" i="46"/>
  <c r="I181" i="46"/>
  <c r="I315" i="46"/>
  <c r="I136" i="46"/>
  <c r="I236" i="46"/>
  <c r="I107" i="46"/>
  <c r="I80" i="46"/>
  <c r="I296" i="46"/>
  <c r="I310" i="46"/>
  <c r="I158" i="46"/>
  <c r="I289" i="46"/>
  <c r="I163" i="46"/>
  <c r="I156" i="46"/>
  <c r="I219" i="46"/>
  <c r="I108" i="46"/>
  <c r="I154" i="46"/>
  <c r="I229" i="46"/>
  <c r="I282" i="46"/>
  <c r="I128" i="46"/>
  <c r="I65" i="46"/>
  <c r="I53" i="46"/>
  <c r="I95" i="46"/>
  <c r="I113" i="46"/>
  <c r="I306" i="46"/>
  <c r="I293" i="46"/>
  <c r="I210" i="46"/>
  <c r="I250" i="46"/>
  <c r="I31" i="46"/>
  <c r="I263" i="46"/>
  <c r="I166" i="46"/>
  <c r="I309" i="46"/>
  <c r="I234" i="46"/>
  <c r="I233" i="46"/>
  <c r="I206" i="46"/>
  <c r="I201" i="46"/>
  <c r="I252" i="46"/>
  <c r="I283" i="46"/>
  <c r="I106" i="46"/>
  <c r="I213" i="46"/>
  <c r="I261" i="46"/>
  <c r="I299" i="46"/>
  <c r="I33" i="46"/>
  <c r="I165" i="46"/>
  <c r="I187" i="46"/>
  <c r="I183" i="46"/>
  <c r="I205" i="46"/>
  <c r="I175" i="46"/>
  <c r="I148" i="46"/>
  <c r="I197" i="46"/>
  <c r="I238" i="46"/>
  <c r="I196" i="46"/>
  <c r="I129" i="46"/>
  <c r="I199" i="46"/>
  <c r="I169" i="46"/>
  <c r="I212" i="46"/>
  <c r="I278" i="46"/>
  <c r="I143" i="46"/>
  <c r="I270" i="46"/>
  <c r="I86" i="46"/>
  <c r="I157" i="46"/>
  <c r="I177" i="46"/>
  <c r="I138" i="46"/>
  <c r="I64" i="46"/>
  <c r="I110" i="46"/>
  <c r="I78" i="46"/>
  <c r="I105" i="46"/>
  <c r="I195" i="46"/>
  <c r="I253" i="46"/>
  <c r="I257" i="46"/>
  <c r="I302" i="46"/>
  <c r="I46" i="46"/>
  <c r="I208" i="46"/>
  <c r="I66" i="46"/>
  <c r="I40" i="46"/>
  <c r="I137" i="46"/>
  <c r="I89" i="46"/>
  <c r="I73" i="46"/>
  <c r="I273" i="46"/>
  <c r="I305" i="46"/>
  <c r="I318" i="46"/>
  <c r="I81" i="46"/>
  <c r="I122" i="46"/>
  <c r="I83" i="46"/>
  <c r="I265" i="46"/>
  <c r="I249" i="46"/>
  <c r="I247" i="46"/>
  <c r="I240" i="46"/>
  <c r="I76" i="46"/>
  <c r="I239" i="46"/>
  <c r="I276" i="46"/>
  <c r="I74" i="46"/>
  <c r="I304" i="46"/>
  <c r="I87" i="46"/>
  <c r="I307" i="46"/>
  <c r="I85" i="46"/>
  <c r="I97" i="46"/>
  <c r="I127" i="46"/>
  <c r="I322" i="46"/>
  <c r="I77" i="46"/>
  <c r="I88" i="46"/>
  <c r="I312" i="46"/>
  <c r="I266" i="46"/>
  <c r="I13" i="46"/>
  <c r="I23" i="46"/>
  <c r="I27" i="46"/>
  <c r="I6" i="46"/>
  <c r="I19" i="46"/>
  <c r="I11" i="46"/>
  <c r="I20" i="46"/>
  <c r="I24" i="46"/>
  <c r="I10" i="46"/>
  <c r="I5" i="46"/>
  <c r="I21" i="46"/>
  <c r="I16" i="46"/>
  <c r="I7" i="46"/>
  <c r="I26" i="46"/>
  <c r="I3" i="46"/>
  <c r="I28" i="46"/>
  <c r="I29" i="46"/>
  <c r="I30" i="46"/>
  <c r="I274" i="46"/>
  <c r="I281" i="46"/>
  <c r="I17" i="46"/>
  <c r="I8" i="46"/>
  <c r="I32" i="46"/>
  <c r="I14" i="46"/>
  <c r="I12" i="46"/>
  <c r="I18" i="46"/>
  <c r="I22" i="46"/>
  <c r="I25" i="46"/>
  <c r="I297" i="46"/>
  <c r="I15" i="46"/>
  <c r="H255" i="46"/>
  <c r="H72" i="46"/>
  <c r="H301" i="46"/>
  <c r="H70" i="46"/>
  <c r="H55" i="46"/>
  <c r="H243" i="46"/>
  <c r="H42" i="46"/>
  <c r="H104" i="46"/>
  <c r="H125" i="46"/>
  <c r="H38" i="46"/>
  <c r="H131" i="46"/>
  <c r="H36" i="46"/>
  <c r="H52" i="46"/>
  <c r="H109" i="46"/>
  <c r="H56" i="46"/>
  <c r="H119" i="46"/>
  <c r="H43" i="46"/>
  <c r="H171" i="46"/>
  <c r="H264" i="46"/>
  <c r="H58" i="46"/>
  <c r="H96" i="46"/>
  <c r="H75" i="46"/>
  <c r="H50" i="46"/>
  <c r="H226" i="46"/>
  <c r="H258" i="46"/>
  <c r="H139" i="46"/>
  <c r="H39" i="46"/>
  <c r="H246" i="46"/>
  <c r="H100" i="46"/>
  <c r="H286" i="46"/>
  <c r="H159" i="46"/>
  <c r="H123" i="46"/>
  <c r="H63" i="46"/>
  <c r="H267" i="46"/>
  <c r="H224" i="46"/>
  <c r="H294" i="46"/>
  <c r="H144" i="46"/>
  <c r="H180" i="46"/>
  <c r="H61" i="46"/>
  <c r="H62" i="46"/>
  <c r="H67" i="46"/>
  <c r="H285" i="46"/>
  <c r="H51" i="46"/>
  <c r="H170" i="46"/>
  <c r="H79" i="46"/>
  <c r="H44" i="46"/>
  <c r="H57" i="46"/>
  <c r="H60" i="46"/>
  <c r="H68" i="46"/>
  <c r="H48" i="46"/>
  <c r="H155" i="46"/>
  <c r="H133" i="46"/>
  <c r="H35" i="46"/>
  <c r="H160" i="46"/>
  <c r="H186" i="46"/>
  <c r="H172" i="46"/>
  <c r="H114" i="46"/>
  <c r="H93" i="46"/>
  <c r="H111" i="46"/>
  <c r="H174" i="46"/>
  <c r="H151" i="46"/>
  <c r="H91" i="46"/>
  <c r="H147" i="46"/>
  <c r="H145" i="46"/>
  <c r="H34" i="46"/>
  <c r="H121" i="46"/>
  <c r="H149" i="46"/>
  <c r="H92" i="46"/>
  <c r="H116" i="46"/>
  <c r="H99" i="46"/>
  <c r="H188" i="46"/>
  <c r="H176" i="46"/>
  <c r="H118" i="46"/>
  <c r="H112" i="46"/>
  <c r="H190" i="46"/>
  <c r="H142" i="46"/>
  <c r="H316" i="46"/>
  <c r="H153" i="46"/>
  <c r="H182" i="46"/>
  <c r="H152" i="46"/>
  <c r="H69" i="46"/>
  <c r="H135" i="46"/>
  <c r="H124" i="46"/>
  <c r="H185" i="46"/>
  <c r="H230" i="46"/>
  <c r="H54" i="46"/>
  <c r="H279" i="46"/>
  <c r="H269" i="46"/>
  <c r="H284" i="46"/>
  <c r="H244" i="46"/>
  <c r="H235" i="46"/>
  <c r="H211" i="46"/>
  <c r="H260" i="46"/>
  <c r="H287" i="46"/>
  <c r="H222" i="46"/>
  <c r="H277" i="46"/>
  <c r="H268" i="46"/>
  <c r="H262" i="46"/>
  <c r="H71" i="46"/>
  <c r="H271" i="46"/>
  <c r="H231" i="46"/>
  <c r="H101" i="46"/>
  <c r="H141" i="46"/>
  <c r="H245" i="46"/>
  <c r="H220" i="46"/>
  <c r="H221" i="46"/>
  <c r="H140" i="46"/>
  <c r="H41" i="46"/>
  <c r="H37" i="46"/>
  <c r="H59" i="46"/>
  <c r="H47" i="46"/>
  <c r="H254" i="46"/>
  <c r="H45" i="46"/>
  <c r="H308" i="46"/>
  <c r="H317" i="46"/>
  <c r="H162" i="46"/>
  <c r="H90" i="46"/>
  <c r="H251" i="46"/>
  <c r="H290" i="46"/>
  <c r="H214" i="46"/>
  <c r="H215" i="46"/>
  <c r="H319" i="46"/>
  <c r="H216" i="46"/>
  <c r="H218" i="46"/>
  <c r="H126" i="46"/>
  <c r="H4" i="46"/>
  <c r="H298" i="46"/>
  <c r="H241" i="46"/>
  <c r="H168" i="46"/>
  <c r="H280" i="46"/>
  <c r="H178" i="46"/>
  <c r="H150" i="46"/>
  <c r="H223" i="46"/>
  <c r="H242" i="46"/>
  <c r="H132" i="46"/>
  <c r="H189" i="46"/>
  <c r="H275" i="46"/>
  <c r="H320" i="46"/>
  <c r="H314" i="46"/>
  <c r="H191" i="46"/>
  <c r="H248" i="46"/>
  <c r="H217" i="46"/>
  <c r="H164" i="46"/>
  <c r="H102" i="46"/>
  <c r="H115" i="46"/>
  <c r="H259" i="46"/>
  <c r="H120" i="46"/>
  <c r="H117" i="46"/>
  <c r="H311" i="46"/>
  <c r="H292" i="46"/>
  <c r="H98" i="46"/>
  <c r="H130" i="46"/>
  <c r="H146" i="46"/>
  <c r="H288" i="46"/>
  <c r="H300" i="46"/>
  <c r="H227" i="46"/>
  <c r="H237" i="46"/>
  <c r="H225" i="46"/>
  <c r="H161" i="46"/>
  <c r="H232" i="46"/>
  <c r="H179" i="46"/>
  <c r="H291" i="46"/>
  <c r="H134" i="46"/>
  <c r="H228" i="46"/>
  <c r="H272" i="46"/>
  <c r="H256" i="46"/>
  <c r="H49" i="46"/>
  <c r="H184" i="46"/>
  <c r="H167" i="46"/>
  <c r="H313" i="46"/>
  <c r="H94" i="46"/>
  <c r="H173" i="46"/>
  <c r="H9" i="46"/>
  <c r="H295" i="46"/>
  <c r="H192" i="46"/>
  <c r="H103" i="46"/>
  <c r="H181" i="46"/>
  <c r="H315" i="46"/>
  <c r="H136" i="46"/>
  <c r="H236" i="46"/>
  <c r="H107" i="46"/>
  <c r="H296" i="46"/>
  <c r="H310" i="46"/>
  <c r="H158" i="46"/>
  <c r="H289" i="46"/>
  <c r="H163" i="46"/>
  <c r="H156" i="46"/>
  <c r="H219" i="46"/>
  <c r="H108" i="46"/>
  <c r="H154" i="46"/>
  <c r="H229" i="46"/>
  <c r="H282" i="46"/>
  <c r="H128" i="46"/>
  <c r="H65" i="46"/>
  <c r="H53" i="46"/>
  <c r="H95" i="46"/>
  <c r="H113" i="46"/>
  <c r="H293" i="46"/>
  <c r="H250" i="46"/>
  <c r="H31" i="46"/>
  <c r="H263" i="46"/>
  <c r="H166" i="46"/>
  <c r="H309" i="46"/>
  <c r="H234" i="46"/>
  <c r="H233" i="46"/>
  <c r="H252" i="46"/>
  <c r="H283" i="46"/>
  <c r="H106" i="46"/>
  <c r="H213" i="46"/>
  <c r="H261" i="46"/>
  <c r="H299" i="46"/>
  <c r="H33" i="46"/>
  <c r="H165" i="46"/>
  <c r="H187" i="46"/>
  <c r="H183" i="46"/>
  <c r="H175" i="46"/>
  <c r="H148" i="46"/>
  <c r="H238" i="46"/>
  <c r="H129" i="46"/>
  <c r="H169" i="46"/>
  <c r="H212" i="46"/>
  <c r="H278" i="46"/>
  <c r="H143" i="46"/>
  <c r="H270" i="46"/>
  <c r="H157" i="46"/>
  <c r="H177" i="46"/>
  <c r="H138" i="46"/>
  <c r="H64" i="46"/>
  <c r="H110" i="46"/>
  <c r="H78" i="46"/>
  <c r="H105" i="46"/>
  <c r="H253" i="46"/>
  <c r="H257" i="46"/>
  <c r="H46" i="46"/>
  <c r="H66" i="46"/>
  <c r="H40" i="46"/>
  <c r="H137" i="46"/>
  <c r="H73" i="46"/>
  <c r="H273" i="46"/>
  <c r="H318" i="46"/>
  <c r="H122" i="46"/>
  <c r="H265" i="46"/>
  <c r="H249" i="46"/>
  <c r="H247" i="46"/>
  <c r="H240" i="46"/>
  <c r="H76" i="46"/>
  <c r="H239" i="46"/>
  <c r="H276" i="46"/>
  <c r="H74" i="46"/>
  <c r="H97" i="46"/>
  <c r="H127" i="46"/>
  <c r="H77" i="46"/>
  <c r="H312" i="46"/>
  <c r="H266" i="46"/>
  <c r="H13" i="46"/>
  <c r="H23" i="46"/>
  <c r="H27" i="46"/>
  <c r="H6" i="46"/>
  <c r="H19" i="46"/>
  <c r="H11" i="46"/>
  <c r="H20" i="46"/>
  <c r="H24" i="46"/>
  <c r="H10" i="46"/>
  <c r="H5" i="46"/>
  <c r="H21" i="46"/>
  <c r="H16" i="46"/>
  <c r="H7" i="46"/>
  <c r="H26" i="46"/>
  <c r="H3" i="46"/>
  <c r="H28" i="46"/>
  <c r="H274" i="46"/>
  <c r="H281" i="46"/>
  <c r="H17" i="46"/>
  <c r="H8" i="46"/>
  <c r="H14" i="46"/>
  <c r="H12" i="46"/>
  <c r="H18" i="46"/>
  <c r="H22" i="46"/>
  <c r="H25" i="46"/>
  <c r="H15" i="46"/>
  <c r="K122" i="56"/>
  <c r="K119" i="56"/>
  <c r="K60" i="56"/>
  <c r="K59" i="56"/>
  <c r="K57" i="56"/>
  <c r="K12" i="56"/>
  <c r="K110" i="56"/>
  <c r="K69" i="56"/>
  <c r="K46" i="56"/>
  <c r="K41" i="56"/>
  <c r="K40" i="56"/>
  <c r="K38" i="56"/>
  <c r="K130" i="56"/>
  <c r="K104" i="56"/>
  <c r="K103" i="56"/>
  <c r="K35" i="56"/>
  <c r="K100" i="56"/>
  <c r="K34" i="56"/>
  <c r="K31" i="56"/>
  <c r="K98" i="56"/>
  <c r="K96" i="56"/>
  <c r="K127" i="56"/>
  <c r="K93" i="56"/>
  <c r="K92" i="56"/>
  <c r="K27" i="56"/>
  <c r="K90" i="56"/>
  <c r="K88" i="56"/>
  <c r="K67" i="56"/>
  <c r="K84" i="56"/>
  <c r="K83" i="56"/>
  <c r="K136" i="56"/>
  <c r="K65" i="56"/>
  <c r="K79" i="56"/>
  <c r="K9" i="56"/>
  <c r="K17" i="56"/>
  <c r="K77" i="56"/>
  <c r="K108" i="56"/>
  <c r="K74" i="56"/>
  <c r="K86" i="56"/>
  <c r="K10" i="56"/>
  <c r="K37" i="56"/>
  <c r="K131" i="56"/>
  <c r="D3" i="46"/>
  <c r="D211" i="46"/>
  <c r="D91" i="46"/>
  <c r="D92" i="46"/>
  <c r="D5" i="46"/>
  <c r="D93" i="46"/>
  <c r="D217" i="46"/>
  <c r="D34" i="46"/>
  <c r="D6" i="46"/>
  <c r="D7" i="46"/>
  <c r="D96" i="46"/>
  <c r="D220" i="46"/>
  <c r="D97" i="46"/>
  <c r="D221" i="46"/>
  <c r="D99" i="46"/>
  <c r="D100" i="46"/>
  <c r="D101" i="46"/>
  <c r="D36" i="46"/>
  <c r="D222" i="46"/>
  <c r="D224" i="46"/>
  <c r="D37" i="46"/>
  <c r="D104" i="46"/>
  <c r="D38" i="46"/>
  <c r="D10" i="46"/>
  <c r="D39" i="46"/>
  <c r="D40" i="46"/>
  <c r="D226" i="46"/>
  <c r="D107" i="46"/>
  <c r="D108" i="46"/>
  <c r="D109" i="46"/>
  <c r="D308" i="46"/>
  <c r="D110" i="46"/>
  <c r="D230" i="46"/>
  <c r="D11" i="46"/>
  <c r="D111" i="46"/>
  <c r="D112" i="46"/>
  <c r="D231" i="46"/>
  <c r="D41" i="46"/>
  <c r="D42" i="46"/>
  <c r="D43" i="46"/>
  <c r="D235" i="46"/>
  <c r="D13" i="46"/>
  <c r="D44" i="46"/>
  <c r="D114" i="46"/>
  <c r="D45" i="46"/>
  <c r="D116" i="46"/>
  <c r="D237" i="46"/>
  <c r="D118" i="46"/>
  <c r="D119" i="46"/>
  <c r="D121" i="46"/>
  <c r="D47" i="46"/>
  <c r="D48" i="46"/>
  <c r="D49" i="46"/>
  <c r="D50" i="46"/>
  <c r="D51" i="46"/>
  <c r="D243" i="46"/>
  <c r="D244" i="46"/>
  <c r="D245" i="46"/>
  <c r="D123" i="46"/>
  <c r="D52" i="46"/>
  <c r="D246" i="46"/>
  <c r="D124" i="46"/>
  <c r="D125" i="46"/>
  <c r="D251" i="46"/>
  <c r="D254" i="46"/>
  <c r="D255" i="46"/>
  <c r="D131" i="46"/>
  <c r="D258" i="46"/>
  <c r="D133" i="46"/>
  <c r="D135" i="46"/>
  <c r="D54" i="46"/>
  <c r="D260" i="46"/>
  <c r="D262" i="46"/>
  <c r="D264" i="46"/>
  <c r="D139" i="46"/>
  <c r="D14" i="46"/>
  <c r="D55" i="46"/>
  <c r="D56" i="46"/>
  <c r="D57" i="46"/>
  <c r="D140" i="46"/>
  <c r="D141" i="46"/>
  <c r="D15" i="46"/>
  <c r="D58" i="46"/>
  <c r="D59" i="46"/>
  <c r="D60" i="46"/>
  <c r="D142" i="46"/>
  <c r="D267" i="46"/>
  <c r="D16" i="46"/>
  <c r="D144" i="46"/>
  <c r="D145" i="46"/>
  <c r="D147" i="46"/>
  <c r="D61" i="46"/>
  <c r="D149" i="46"/>
  <c r="D62" i="46"/>
  <c r="D268" i="46"/>
  <c r="D269" i="46"/>
  <c r="D152" i="46"/>
  <c r="D271" i="46"/>
  <c r="D153" i="46"/>
  <c r="D63" i="46"/>
  <c r="D18" i="46"/>
  <c r="D155" i="46"/>
  <c r="D19" i="46"/>
  <c r="D20" i="46"/>
  <c r="D266" i="46"/>
  <c r="D275" i="46"/>
  <c r="D159" i="46"/>
  <c r="D316" i="46"/>
  <c r="D277" i="46"/>
  <c r="D21" i="46"/>
  <c r="D160" i="46"/>
  <c r="D297" i="46"/>
  <c r="D279" i="46"/>
  <c r="D163" i="46"/>
  <c r="D23" i="46"/>
  <c r="D317" i="46"/>
  <c r="D24" i="46"/>
  <c r="D67" i="46"/>
  <c r="D170" i="46"/>
  <c r="D171" i="46"/>
  <c r="D284" i="46"/>
  <c r="D68" i="46"/>
  <c r="D172" i="46"/>
  <c r="D69" i="46"/>
  <c r="D70" i="46"/>
  <c r="D174" i="46"/>
  <c r="D71" i="46"/>
  <c r="D285" i="46"/>
  <c r="D72" i="46"/>
  <c r="D286" i="46"/>
  <c r="D287" i="46"/>
  <c r="D176" i="46"/>
  <c r="D26" i="46"/>
  <c r="D27" i="46"/>
  <c r="D290" i="46"/>
  <c r="D180" i="46"/>
  <c r="D182" i="46"/>
  <c r="D294" i="46"/>
  <c r="D74" i="46"/>
  <c r="D185" i="46"/>
  <c r="D28" i="46"/>
  <c r="D75" i="46"/>
  <c r="D186" i="46"/>
  <c r="D77" i="46"/>
  <c r="D300" i="46"/>
  <c r="D79" i="46"/>
  <c r="D188" i="46"/>
  <c r="D210" i="46"/>
  <c r="D301" i="46"/>
  <c r="N119" i="65"/>
  <c r="D236" i="46" s="1"/>
  <c r="N120" i="65"/>
  <c r="D238" i="46" s="1"/>
  <c r="N126" i="65"/>
  <c r="D248" i="46" s="1"/>
  <c r="N127" i="65"/>
  <c r="D249" i="46" s="1"/>
  <c r="N49" i="65"/>
  <c r="D128" i="46" s="1"/>
  <c r="N129" i="65"/>
  <c r="D252" i="46" s="1"/>
  <c r="N130" i="65"/>
  <c r="D253" i="46" s="1"/>
  <c r="N65" i="65"/>
  <c r="D158" i="46" s="1"/>
  <c r="N19" i="65"/>
  <c r="D65" i="46" s="1"/>
  <c r="N149" i="65"/>
  <c r="D291" i="46" s="1"/>
  <c r="N34" i="65"/>
  <c r="D90" i="46" s="1"/>
  <c r="N14" i="65"/>
  <c r="D33" i="46" s="1"/>
  <c r="N109" i="65"/>
  <c r="D218" i="46" s="1"/>
  <c r="N156" i="65"/>
  <c r="D302" i="46" s="1"/>
  <c r="N37" i="65"/>
  <c r="D98" i="46" s="1"/>
  <c r="N38" i="65"/>
  <c r="D102" i="46" s="1"/>
  <c r="N39" i="65"/>
  <c r="D103" i="46" s="1"/>
  <c r="N112" i="65"/>
  <c r="D225" i="46" s="1"/>
  <c r="N96" i="65"/>
  <c r="D202" i="46" s="1"/>
  <c r="N41" i="65"/>
  <c r="D106" i="46" s="1"/>
  <c r="N113" i="65"/>
  <c r="D227" i="46" s="1"/>
  <c r="N116" i="65"/>
  <c r="D232" i="46" s="1"/>
  <c r="N42" i="65"/>
  <c r="D113" i="46" s="1"/>
  <c r="N90" i="65"/>
  <c r="D196" i="46" s="1"/>
  <c r="N99" i="65"/>
  <c r="D205" i="46" s="1"/>
  <c r="N44" i="65"/>
  <c r="D117" i="46" s="1"/>
  <c r="N16" i="65"/>
  <c r="D46" i="46" s="1"/>
  <c r="N101" i="65"/>
  <c r="D207" i="46" s="1"/>
  <c r="N45" i="65"/>
  <c r="D120" i="46" s="1"/>
  <c r="N162" i="65"/>
  <c r="D309" i="46" s="1"/>
  <c r="N47" i="65"/>
  <c r="D126" i="46" s="1"/>
  <c r="N91" i="65"/>
  <c r="D197" i="46" s="1"/>
  <c r="N51" i="65"/>
  <c r="D130" i="46" s="1"/>
  <c r="N132" i="65"/>
  <c r="D257" i="46" s="1"/>
  <c r="N53" i="65"/>
  <c r="D134" i="46" s="1"/>
  <c r="N133" i="65"/>
  <c r="D259" i="46" s="1"/>
  <c r="N164" i="65"/>
  <c r="D311" i="46" s="1"/>
  <c r="N165" i="65"/>
  <c r="D312" i="46" s="1"/>
  <c r="N57" i="65"/>
  <c r="D143" i="46" s="1"/>
  <c r="N60" i="65"/>
  <c r="D150" i="46" s="1"/>
  <c r="N138" i="65"/>
  <c r="D272" i="46" s="1"/>
  <c r="N67" i="65"/>
  <c r="D162" i="46" s="1"/>
  <c r="N145" i="65"/>
  <c r="D282" i="46" s="1"/>
  <c r="N72" i="65"/>
  <c r="D168" i="46" s="1"/>
  <c r="N143" i="65"/>
  <c r="D280" i="46" s="1"/>
  <c r="N70" i="65"/>
  <c r="D166" i="46" s="1"/>
  <c r="N75" i="65"/>
  <c r="D175" i="46" s="1"/>
  <c r="N148" i="65"/>
  <c r="D289" i="46" s="1"/>
  <c r="N78" i="65"/>
  <c r="D179" i="46" s="1"/>
  <c r="N150" i="65"/>
  <c r="D292" i="46" s="1"/>
  <c r="N83" i="65"/>
  <c r="D189" i="46" s="1"/>
  <c r="N86" i="65"/>
  <c r="D192" i="46" s="1"/>
  <c r="N153" i="65"/>
  <c r="D296" i="46" s="1"/>
  <c r="N94" i="65"/>
  <c r="D200" i="46" s="1"/>
  <c r="N95" i="65"/>
  <c r="D201" i="46" s="1"/>
  <c r="N104" i="65"/>
  <c r="D212" i="46" s="1"/>
  <c r="N105" i="65"/>
  <c r="D213" i="46" s="1"/>
  <c r="N107" i="65"/>
  <c r="D215" i="46" s="1"/>
  <c r="N35" i="65"/>
  <c r="D94" i="46" s="1"/>
  <c r="N24" i="65"/>
  <c r="D80" i="46" s="1"/>
  <c r="N36" i="65"/>
  <c r="D95" i="46" s="1"/>
  <c r="N110" i="65"/>
  <c r="D219" i="46" s="1"/>
  <c r="N40" i="65"/>
  <c r="D105" i="46" s="1"/>
  <c r="N87" i="65"/>
  <c r="D193" i="46" s="1"/>
  <c r="N115" i="65"/>
  <c r="D229" i="46" s="1"/>
  <c r="N117" i="65"/>
  <c r="D233" i="46" s="1"/>
  <c r="N43" i="65"/>
  <c r="D115" i="46" s="1"/>
  <c r="N98" i="65"/>
  <c r="D204" i="46" s="1"/>
  <c r="N121" i="65"/>
  <c r="D239" i="46" s="1"/>
  <c r="N123" i="65"/>
  <c r="D241" i="46" s="1"/>
  <c r="N46" i="65"/>
  <c r="D122" i="46" s="1"/>
  <c r="N125" i="65"/>
  <c r="D247" i="46" s="1"/>
  <c r="N131" i="65"/>
  <c r="D256" i="46" s="1"/>
  <c r="N52" i="65"/>
  <c r="D132" i="46" s="1"/>
  <c r="N17" i="65"/>
  <c r="D53" i="46" s="1"/>
  <c r="N25" i="65"/>
  <c r="D81" i="46" s="1"/>
  <c r="N32" i="65"/>
  <c r="D88" i="46" s="1"/>
  <c r="N3" i="65"/>
  <c r="D4" i="46" s="1"/>
  <c r="N58" i="65"/>
  <c r="D146" i="46" s="1"/>
  <c r="N137" i="65"/>
  <c r="D270" i="46" s="1"/>
  <c r="N62" i="65"/>
  <c r="D154" i="46" s="1"/>
  <c r="N167" i="65"/>
  <c r="D314" i="46" s="1"/>
  <c r="N63" i="65"/>
  <c r="D156" i="46" s="1"/>
  <c r="N92" i="65"/>
  <c r="D198" i="46" s="1"/>
  <c r="N141" i="65"/>
  <c r="D276" i="46" s="1"/>
  <c r="N103" i="65"/>
  <c r="D209" i="46" s="1"/>
  <c r="N69" i="65"/>
  <c r="D165" i="46" s="1"/>
  <c r="N20" i="65"/>
  <c r="D66" i="46" s="1"/>
  <c r="N68" i="65"/>
  <c r="D164" i="46" s="1"/>
  <c r="N74" i="65"/>
  <c r="D173" i="46" s="1"/>
  <c r="N147" i="65"/>
  <c r="D288" i="46" s="1"/>
  <c r="N77" i="65"/>
  <c r="D178" i="46" s="1"/>
  <c r="N79" i="65"/>
  <c r="D181" i="46" s="1"/>
  <c r="N81" i="65"/>
  <c r="D184" i="46" s="1"/>
  <c r="N151" i="65"/>
  <c r="D293" i="46" s="1"/>
  <c r="N82" i="65"/>
  <c r="D187" i="46" s="1"/>
  <c r="N93" i="65"/>
  <c r="D199" i="46" s="1"/>
  <c r="N85" i="65"/>
  <c r="D191" i="46" s="1"/>
  <c r="N84" i="65"/>
  <c r="D190" i="46" s="1"/>
  <c r="N154" i="65"/>
  <c r="D298" i="46" s="1"/>
  <c r="N29" i="65"/>
  <c r="D85" i="46" s="1"/>
  <c r="N111" i="65"/>
  <c r="D223" i="46" s="1"/>
  <c r="N144" i="65"/>
  <c r="D281" i="46" s="1"/>
  <c r="N172" i="65"/>
  <c r="D321" i="46" s="1"/>
  <c r="N30" i="65"/>
  <c r="D86" i="46" s="1"/>
  <c r="N114" i="65"/>
  <c r="D228" i="46" s="1"/>
  <c r="N118" i="65"/>
  <c r="D234" i="46" s="1"/>
  <c r="N173" i="65"/>
  <c r="D322" i="46" s="1"/>
  <c r="N100" i="65"/>
  <c r="D206" i="46" s="1"/>
  <c r="N124" i="65"/>
  <c r="D242" i="46" s="1"/>
  <c r="N50" i="65"/>
  <c r="D129" i="46" s="1"/>
  <c r="N54" i="65"/>
  <c r="D136" i="46" s="1"/>
  <c r="N134" i="65"/>
  <c r="D261" i="46" s="1"/>
  <c r="N56" i="65"/>
  <c r="D138" i="46" s="1"/>
  <c r="N168" i="65"/>
  <c r="D315" i="46" s="1"/>
  <c r="N146" i="65"/>
  <c r="D283" i="46" s="1"/>
  <c r="N71" i="65"/>
  <c r="D167" i="46" s="1"/>
  <c r="N73" i="65"/>
  <c r="D169" i="46" s="1"/>
  <c r="N169" i="65"/>
  <c r="D318" i="46" s="1"/>
  <c r="N80" i="65"/>
  <c r="D183" i="46" s="1"/>
  <c r="N155" i="65"/>
  <c r="D299" i="46" s="1"/>
  <c r="N10" i="65"/>
  <c r="D29" i="46" s="1"/>
  <c r="N140" i="65"/>
  <c r="D274" i="46" s="1"/>
  <c r="N97" i="65"/>
  <c r="D203" i="46" s="1"/>
  <c r="N122" i="65"/>
  <c r="D240" i="46" s="1"/>
  <c r="N135" i="65"/>
  <c r="D263" i="46" s="1"/>
  <c r="N158" i="65"/>
  <c r="D304" i="46" s="1"/>
  <c r="N13" i="65"/>
  <c r="D32" i="46" s="1"/>
  <c r="N26" i="65"/>
  <c r="D82" i="46" s="1"/>
  <c r="N166" i="65"/>
  <c r="D313" i="46" s="1"/>
  <c r="N142" i="65"/>
  <c r="D278" i="46" s="1"/>
  <c r="N170" i="65"/>
  <c r="D319" i="46" s="1"/>
  <c r="N27" i="65"/>
  <c r="D83" i="46" s="1"/>
  <c r="N159" i="65"/>
  <c r="D305" i="46" s="1"/>
  <c r="N171" i="65"/>
  <c r="D320" i="46" s="1"/>
  <c r="N5" i="65"/>
  <c r="D9" i="46" s="1"/>
  <c r="N55" i="65"/>
  <c r="D137" i="46" s="1"/>
  <c r="N76" i="65"/>
  <c r="D177" i="46" s="1"/>
  <c r="N106" i="65"/>
  <c r="D214" i="46" s="1"/>
  <c r="N61" i="65"/>
  <c r="D151" i="46" s="1"/>
  <c r="N66" i="65"/>
  <c r="D161" i="46" s="1"/>
  <c r="N23" i="65"/>
  <c r="D78" i="46" s="1"/>
  <c r="N89" i="65"/>
  <c r="D195" i="46" s="1"/>
  <c r="N128" i="65"/>
  <c r="D250" i="46" s="1"/>
  <c r="N48" i="65"/>
  <c r="D127" i="46" s="1"/>
  <c r="N88" i="65"/>
  <c r="D194" i="46" s="1"/>
  <c r="N6" i="65"/>
  <c r="D12" i="46" s="1"/>
  <c r="N7" i="65"/>
  <c r="D17" i="46" s="1"/>
  <c r="N59" i="65"/>
  <c r="D148" i="46" s="1"/>
  <c r="N64" i="65"/>
  <c r="D157" i="46" s="1"/>
  <c r="N11" i="65"/>
  <c r="D30" i="46" s="1"/>
  <c r="N160" i="65"/>
  <c r="D306" i="46" s="1"/>
  <c r="N31" i="65"/>
  <c r="D87" i="46" s="1"/>
  <c r="N163" i="65"/>
  <c r="D310" i="46" s="1"/>
  <c r="N8" i="65"/>
  <c r="D22" i="46" s="1"/>
  <c r="N28" i="65"/>
  <c r="D84" i="46" s="1"/>
  <c r="N108" i="65"/>
  <c r="D216" i="46" s="1"/>
  <c r="N4" i="65"/>
  <c r="D8" i="46" s="1"/>
  <c r="N157" i="65"/>
  <c r="D303" i="46" s="1"/>
  <c r="N136" i="65"/>
  <c r="D265" i="46" s="1"/>
  <c r="N102" i="65"/>
  <c r="D208" i="46" s="1"/>
  <c r="N139" i="65"/>
  <c r="D273" i="46" s="1"/>
  <c r="N161" i="65"/>
  <c r="D307" i="46" s="1"/>
  <c r="N33" i="65"/>
  <c r="D89" i="46" s="1"/>
  <c r="N9" i="65"/>
  <c r="D25" i="46" s="1"/>
  <c r="N152" i="65"/>
  <c r="D295" i="46" s="1"/>
  <c r="N15" i="65"/>
  <c r="D35" i="46" s="1"/>
  <c r="N18" i="65"/>
  <c r="D64" i="46" s="1"/>
  <c r="N21" i="65"/>
  <c r="D73" i="46" s="1"/>
  <c r="N12" i="65"/>
  <c r="D31" i="46" s="1"/>
  <c r="N22" i="65"/>
  <c r="D76" i="46" s="1"/>
  <c r="K49" i="56" l="1"/>
  <c r="K53" i="56"/>
  <c r="K125" i="56"/>
  <c r="K13" i="56"/>
  <c r="K62" i="56"/>
  <c r="K111" i="56"/>
  <c r="K113" i="56"/>
  <c r="K134" i="56"/>
  <c r="K114" i="56"/>
  <c r="K118" i="56"/>
  <c r="K121" i="56"/>
  <c r="K64" i="56"/>
  <c r="K72" i="56"/>
  <c r="K6" i="56"/>
  <c r="K76" i="56"/>
  <c r="K18" i="56"/>
  <c r="K87" i="56"/>
  <c r="K89" i="56"/>
  <c r="K28" i="56"/>
  <c r="K95" i="56"/>
  <c r="K126" i="56"/>
  <c r="K99" i="56"/>
  <c r="K128" i="56"/>
  <c r="K129" i="56"/>
  <c r="K3" i="56"/>
  <c r="K124" i="56"/>
  <c r="K43" i="56"/>
  <c r="K45" i="56"/>
  <c r="K5" i="56"/>
  <c r="K22" i="56"/>
  <c r="K24" i="56"/>
  <c r="K66" i="56"/>
  <c r="K21" i="56"/>
  <c r="K75" i="56"/>
  <c r="K14" i="56"/>
  <c r="K19" i="56"/>
  <c r="K68" i="56"/>
  <c r="K71" i="56"/>
  <c r="K29" i="56"/>
  <c r="K97" i="56"/>
  <c r="K32" i="56"/>
  <c r="K101" i="56"/>
  <c r="K11" i="56"/>
  <c r="K4" i="56"/>
  <c r="K42" i="56"/>
  <c r="K132" i="56"/>
  <c r="K47" i="56"/>
  <c r="K50" i="56"/>
  <c r="K54" i="56"/>
  <c r="K56" i="56"/>
  <c r="K58" i="56"/>
  <c r="K117" i="56"/>
  <c r="K7" i="56"/>
  <c r="K63" i="56"/>
  <c r="K112" i="56"/>
  <c r="K52" i="56"/>
  <c r="K55" i="56"/>
  <c r="K115" i="56"/>
  <c r="K15" i="56"/>
  <c r="K81" i="56"/>
  <c r="K82" i="56"/>
  <c r="K8" i="56"/>
  <c r="K48" i="56"/>
  <c r="K51" i="56"/>
  <c r="K133" i="56"/>
  <c r="K135" i="56"/>
  <c r="K116" i="56"/>
  <c r="K61" i="56"/>
  <c r="K120" i="56"/>
  <c r="K73" i="56"/>
  <c r="K80" i="56"/>
  <c r="K16" i="56"/>
  <c r="K78" i="56"/>
  <c r="K123" i="56"/>
  <c r="K25" i="56"/>
  <c r="K26" i="56"/>
  <c r="K91" i="56"/>
  <c r="K94" i="56"/>
  <c r="K30" i="56"/>
  <c r="K33" i="56"/>
  <c r="K102" i="56"/>
  <c r="K36" i="56"/>
  <c r="K39" i="56"/>
  <c r="K106" i="56"/>
  <c r="K44" i="56"/>
  <c r="K109" i="56"/>
  <c r="K23" i="56"/>
  <c r="K70" i="56"/>
  <c r="K10" i="69"/>
  <c r="K20" i="56"/>
  <c r="K85" i="56"/>
  <c r="K105" i="56"/>
  <c r="K107" i="56"/>
  <c r="H304" i="46"/>
  <c r="H195" i="46"/>
  <c r="H194" i="46"/>
  <c r="H196" i="46"/>
  <c r="H303" i="46"/>
  <c r="H321" i="46"/>
  <c r="H207" i="46"/>
  <c r="H210" i="46"/>
  <c r="H205" i="46"/>
  <c r="H203" i="46"/>
  <c r="H198" i="46"/>
  <c r="H306" i="46"/>
  <c r="H305" i="46"/>
  <c r="H297" i="46"/>
  <c r="H29" i="46"/>
  <c r="H84" i="46"/>
  <c r="H85" i="46"/>
  <c r="H193" i="46"/>
  <c r="H80" i="46"/>
  <c r="H32" i="46" l="1"/>
  <c r="H322" i="46"/>
  <c r="H89" i="46"/>
  <c r="H87" i="46"/>
  <c r="H199" i="46"/>
  <c r="H200" i="46"/>
  <c r="H208" i="46"/>
  <c r="H82" i="46"/>
  <c r="H209" i="46"/>
  <c r="H204" i="46"/>
  <c r="H81" i="46"/>
  <c r="H201" i="46"/>
  <c r="H86" i="46"/>
  <c r="H307" i="46"/>
  <c r="H302" i="46"/>
  <c r="H30" i="46"/>
  <c r="H197" i="46"/>
  <c r="H206" i="46"/>
  <c r="H83" i="46"/>
  <c r="H88" i="46"/>
  <c r="H202" i="46"/>
  <c r="K3" i="69"/>
  <c r="K9" i="69"/>
  <c r="K11" i="69"/>
  <c r="K12" i="69"/>
  <c r="K8" i="69" l="1"/>
  <c r="K4" i="69" l="1"/>
  <c r="K7" i="69" l="1"/>
  <c r="K5" i="69" l="1"/>
  <c r="K6" i="69" l="1"/>
  <c r="K3" i="46"/>
  <c r="K63" i="46"/>
  <c r="K57" i="46"/>
  <c r="K74" i="46"/>
  <c r="K152" i="46"/>
  <c r="K243" i="46"/>
  <c r="K97" i="46"/>
  <c r="K217" i="46"/>
  <c r="K186" i="46"/>
  <c r="K221" i="46"/>
  <c r="K47" i="46"/>
  <c r="K144" i="46"/>
  <c r="K119" i="46"/>
  <c r="K6" i="46"/>
  <c r="K72" i="46"/>
  <c r="K187" i="46"/>
  <c r="K67" i="46"/>
  <c r="K116" i="46"/>
  <c r="K163" i="46"/>
  <c r="K190" i="46"/>
  <c r="K59" i="46"/>
  <c r="K123" i="46"/>
  <c r="K244" i="46"/>
  <c r="K262" i="46"/>
  <c r="K60" i="46"/>
  <c r="K5" i="46"/>
  <c r="K255" i="46"/>
  <c r="K224" i="46"/>
  <c r="K281" i="46"/>
  <c r="K124" i="46"/>
  <c r="K14" i="46"/>
  <c r="K180" i="46"/>
  <c r="K100" i="46"/>
  <c r="K62" i="46"/>
  <c r="K76" i="46"/>
  <c r="K260" i="46"/>
  <c r="C7" i="69"/>
  <c r="K231" i="46"/>
  <c r="K111" i="46"/>
  <c r="K45" i="46"/>
  <c r="K286" i="46"/>
  <c r="K177" i="46"/>
  <c r="K16" i="46"/>
  <c r="K77" i="46"/>
  <c r="K285" i="46"/>
  <c r="K160" i="46"/>
  <c r="K139" i="46"/>
  <c r="C6" i="69"/>
  <c r="C8" i="69"/>
  <c r="K75" i="46"/>
  <c r="K185" i="46"/>
  <c r="K316" i="46"/>
  <c r="K182" i="46"/>
  <c r="K268" i="46"/>
  <c r="K287" i="46"/>
  <c r="K41" i="46"/>
  <c r="K135" i="46"/>
  <c r="K132" i="46"/>
  <c r="K110" i="46"/>
  <c r="K147" i="46"/>
  <c r="K121" i="46"/>
  <c r="K127" i="46"/>
  <c r="K256" i="46"/>
  <c r="K23" i="46"/>
  <c r="K104" i="46"/>
  <c r="K79" i="46"/>
  <c r="K284" i="46"/>
  <c r="K159" i="46"/>
  <c r="K55" i="46"/>
  <c r="K15" i="46"/>
  <c r="K42" i="46"/>
  <c r="K313" i="46"/>
  <c r="K24" i="46"/>
  <c r="K21" i="46"/>
  <c r="K168" i="46"/>
  <c r="K193" i="46"/>
  <c r="K130" i="46"/>
  <c r="K195" i="46"/>
  <c r="K295" i="46"/>
  <c r="K19" i="46"/>
  <c r="K10" i="46"/>
  <c r="K209" i="46"/>
  <c r="K270" i="46"/>
  <c r="K303" i="46"/>
  <c r="K117" i="46"/>
  <c r="K289" i="46"/>
  <c r="K164" i="46"/>
  <c r="K115" i="46"/>
  <c r="K267" i="46"/>
  <c r="K145" i="46"/>
  <c r="K109" i="46"/>
  <c r="K52" i="46"/>
  <c r="K87" i="46"/>
  <c r="K138" i="46"/>
  <c r="K229" i="46"/>
  <c r="K189" i="46"/>
  <c r="K310" i="46"/>
  <c r="K103" i="46"/>
  <c r="K296" i="46"/>
  <c r="K107" i="46"/>
  <c r="K34" i="46"/>
  <c r="K91" i="46"/>
  <c r="K279" i="46"/>
  <c r="K153" i="46"/>
  <c r="K178" i="46"/>
  <c r="K22" i="46"/>
  <c r="K29" i="46"/>
  <c r="K95" i="46"/>
  <c r="K278" i="46"/>
  <c r="K28" i="46"/>
  <c r="K220" i="46"/>
  <c r="K65" i="46"/>
  <c r="K129" i="46"/>
  <c r="K82" i="46"/>
  <c r="K172" i="46"/>
  <c r="K155" i="46"/>
  <c r="K8" i="46"/>
  <c r="K118" i="46"/>
  <c r="C11" i="69"/>
  <c r="C3" i="69"/>
  <c r="C4" i="69"/>
  <c r="K216" i="46"/>
  <c r="K235" i="46"/>
  <c r="K38" i="46"/>
  <c r="K301" i="46"/>
  <c r="K275" i="46"/>
  <c r="K69" i="46"/>
  <c r="K11" i="46"/>
  <c r="K277" i="46"/>
  <c r="K73" i="46"/>
  <c r="K298" i="46"/>
  <c r="K250" i="46"/>
  <c r="K247" i="46"/>
  <c r="K239" i="46"/>
  <c r="K188" i="46"/>
  <c r="K13" i="46"/>
  <c r="K18" i="46"/>
  <c r="K264" i="46"/>
  <c r="K99" i="46"/>
  <c r="K246" i="46"/>
  <c r="K114" i="46"/>
  <c r="K50" i="46"/>
  <c r="K54" i="46"/>
  <c r="K88" i="46"/>
  <c r="K175" i="46"/>
  <c r="K228" i="46"/>
  <c r="K35" i="46"/>
  <c r="K299" i="46"/>
  <c r="K241" i="46"/>
  <c r="K71" i="46"/>
  <c r="K142" i="46"/>
  <c r="K101" i="46"/>
  <c r="K43" i="46"/>
  <c r="K25" i="46"/>
  <c r="K201" i="46"/>
  <c r="K204" i="46"/>
  <c r="K320" i="46"/>
  <c r="K276" i="46"/>
  <c r="K105" i="46"/>
  <c r="K194" i="46"/>
  <c r="K151" i="46"/>
  <c r="K200" i="46"/>
  <c r="K240" i="46"/>
  <c r="K162" i="46"/>
  <c r="K202" i="46"/>
  <c r="K40" i="46"/>
  <c r="K90" i="46"/>
  <c r="K191" i="46"/>
  <c r="K319" i="46"/>
  <c r="K89" i="46"/>
  <c r="K122" i="46"/>
  <c r="K300" i="46"/>
  <c r="K263" i="46"/>
  <c r="K136" i="46"/>
  <c r="K53" i="46"/>
  <c r="K282" i="46"/>
  <c r="K125" i="46"/>
  <c r="K37" i="46"/>
  <c r="K58" i="46"/>
  <c r="K66" i="46"/>
  <c r="K166" i="46"/>
  <c r="K203" i="46"/>
  <c r="K213" i="46"/>
  <c r="K98" i="46"/>
  <c r="K219" i="46"/>
  <c r="K183" i="46"/>
  <c r="K179" i="46"/>
  <c r="K197" i="46"/>
  <c r="K30" i="46"/>
  <c r="K207" i="46"/>
  <c r="K84" i="46"/>
  <c r="K174" i="46"/>
  <c r="K273" i="46"/>
  <c r="K245" i="46"/>
  <c r="K248" i="46"/>
  <c r="K269" i="46"/>
  <c r="K92" i="46"/>
  <c r="K68" i="46"/>
  <c r="K222" i="46"/>
  <c r="K176" i="46"/>
  <c r="K36" i="46"/>
  <c r="K149" i="46"/>
  <c r="K112" i="46"/>
  <c r="K12" i="46"/>
  <c r="K39" i="46"/>
  <c r="K141" i="46"/>
  <c r="K230" i="46"/>
  <c r="K211" i="46"/>
  <c r="K308" i="46"/>
  <c r="K140" i="46"/>
  <c r="K7" i="46"/>
  <c r="K27" i="46"/>
  <c r="K49" i="46"/>
  <c r="K226" i="46"/>
  <c r="K70" i="46"/>
  <c r="K48" i="46"/>
  <c r="K20" i="46"/>
  <c r="K237" i="46"/>
  <c r="K317" i="46"/>
  <c r="K131" i="46"/>
  <c r="K198" i="46"/>
  <c r="K154" i="46"/>
  <c r="K242" i="46"/>
  <c r="K297" i="46"/>
  <c r="K283" i="46"/>
  <c r="K56" i="46"/>
  <c r="C10" i="69"/>
  <c r="C9" i="69"/>
  <c r="C5" i="69"/>
  <c r="K254" i="46"/>
  <c r="K4" i="46"/>
  <c r="K26" i="46"/>
  <c r="K61" i="46"/>
  <c r="K184" i="46"/>
  <c r="K253" i="46"/>
  <c r="K46" i="46"/>
  <c r="K199" i="46"/>
  <c r="K173" i="46"/>
  <c r="K167" i="46"/>
  <c r="K292" i="46"/>
  <c r="K215" i="46"/>
  <c r="K238" i="46"/>
  <c r="K227" i="46"/>
  <c r="K266" i="46"/>
  <c r="K212" i="46"/>
  <c r="K321" i="46"/>
  <c r="K157" i="46"/>
  <c r="K106" i="46"/>
  <c r="K274" i="46"/>
  <c r="K143" i="46"/>
  <c r="K257" i="46"/>
  <c r="K280" i="46"/>
  <c r="K126" i="46"/>
  <c r="K307" i="46"/>
  <c r="K236" i="46"/>
  <c r="K225" i="46"/>
  <c r="K208" i="46"/>
  <c r="K291" i="46"/>
  <c r="K32" i="46"/>
  <c r="K315" i="46"/>
  <c r="K94" i="46"/>
  <c r="K261" i="46"/>
  <c r="K137" i="46"/>
  <c r="K288" i="46"/>
  <c r="K146" i="46"/>
  <c r="K318" i="46"/>
  <c r="K233" i="46"/>
  <c r="K86" i="46"/>
  <c r="K306" i="46"/>
  <c r="K169" i="46"/>
  <c r="K102" i="46"/>
  <c r="K156" i="46"/>
  <c r="K158" i="46"/>
  <c r="K312" i="46"/>
  <c r="K304" i="46"/>
  <c r="K272" i="46"/>
  <c r="K214" i="46"/>
  <c r="K78" i="46"/>
  <c r="K17" i="46"/>
  <c r="K252" i="46"/>
  <c r="K161" i="46"/>
  <c r="K85" i="46"/>
  <c r="K196" i="46"/>
  <c r="K232" i="46"/>
  <c r="K83" i="46"/>
  <c r="K150" i="46"/>
  <c r="K134" i="46"/>
  <c r="K128" i="46"/>
  <c r="K249" i="46"/>
  <c r="K322" i="46"/>
  <c r="K113" i="46"/>
  <c r="K51" i="46"/>
  <c r="K96" i="46"/>
  <c r="K171" i="46"/>
  <c r="K93" i="46"/>
  <c r="K108" i="46"/>
  <c r="K44" i="46"/>
  <c r="K258" i="46"/>
  <c r="K265" i="46"/>
  <c r="K271" i="46"/>
  <c r="K133" i="46"/>
  <c r="K64" i="46"/>
  <c r="K170" i="46"/>
  <c r="K290" i="46"/>
  <c r="K294" i="46"/>
  <c r="K302" i="46"/>
  <c r="K80" i="46"/>
  <c r="K251" i="46"/>
  <c r="K309" i="46"/>
  <c r="K218" i="46"/>
  <c r="K311" i="46"/>
  <c r="K234" i="46"/>
  <c r="K259" i="46"/>
  <c r="K148" i="46"/>
  <c r="K206" i="46"/>
  <c r="K223" i="46"/>
  <c r="K81" i="46"/>
  <c r="K181" i="46"/>
  <c r="K293" i="46"/>
  <c r="K305" i="46"/>
  <c r="K120" i="46"/>
  <c r="K205" i="46"/>
  <c r="K314" i="46"/>
  <c r="K192" i="46"/>
  <c r="K33" i="46"/>
  <c r="K210" i="46"/>
  <c r="K165" i="46"/>
  <c r="C12" i="69"/>
  <c r="K9" i="46"/>
  <c r="K31" i="46"/>
  <c r="E121" i="46"/>
  <c r="M121" i="46" s="1"/>
  <c r="O121" i="46" s="1"/>
  <c r="P121" i="46" s="1" a="1"/>
  <c r="P121" i="46" s="1"/>
  <c r="E215" i="46"/>
  <c r="E221" i="46"/>
  <c r="M221" i="46" s="1"/>
  <c r="O221" i="46" s="1"/>
  <c r="P221" i="46" s="1" a="1"/>
  <c r="P221" i="46" s="1"/>
  <c r="E316" i="46"/>
  <c r="M316" i="46" s="1"/>
  <c r="O316" i="46" s="1"/>
  <c r="P316" i="46" s="1" a="1"/>
  <c r="P316" i="46" s="1"/>
  <c r="E255" i="46"/>
  <c r="M255" i="46" s="1"/>
  <c r="O255" i="46" s="1"/>
  <c r="P255" i="46" s="1" a="1"/>
  <c r="P255" i="46" s="1"/>
  <c r="E47" i="46"/>
  <c r="M47" i="46" s="1"/>
  <c r="O47" i="46" s="1"/>
  <c r="P47" i="46" s="1" a="1"/>
  <c r="P47" i="46" s="1"/>
  <c r="E308" i="46"/>
  <c r="E80" i="46"/>
  <c r="E220" i="46"/>
  <c r="M220" i="46" s="1"/>
  <c r="O220" i="46" s="1"/>
  <c r="P220" i="46" s="1" a="1"/>
  <c r="P220" i="46" s="1"/>
  <c r="E286" i="46"/>
  <c r="M286" i="46" s="1"/>
  <c r="O286" i="46" s="1"/>
  <c r="P286" i="46" s="1" a="1"/>
  <c r="P286" i="46" s="1"/>
  <c r="E113" i="46"/>
  <c r="E123" i="46"/>
  <c r="M123" i="46" s="1"/>
  <c r="O123" i="46" s="1"/>
  <c r="P123" i="46" s="1" a="1"/>
  <c r="P123" i="46" s="1"/>
  <c r="E289" i="46"/>
  <c r="M289" i="46" s="1"/>
  <c r="O289" i="46" s="1"/>
  <c r="P289" i="46" s="1" a="1"/>
  <c r="P289" i="46" s="1"/>
  <c r="E149" i="46"/>
  <c r="E75" i="46"/>
  <c r="M75" i="46" s="1"/>
  <c r="O75" i="46" s="1"/>
  <c r="P75" i="46" s="1" a="1"/>
  <c r="P75" i="46" s="1"/>
  <c r="E169" i="46"/>
  <c r="E178" i="46"/>
  <c r="E270" i="46"/>
  <c r="E234" i="46"/>
  <c r="E134" i="46"/>
  <c r="E163" i="46"/>
  <c r="M163" i="46" s="1"/>
  <c r="O163" i="46" s="1"/>
  <c r="P163" i="46" s="1" a="1"/>
  <c r="P163" i="46" s="1"/>
  <c r="E129" i="46"/>
  <c r="E78" i="46"/>
  <c r="E247" i="46"/>
  <c r="M247" i="46" s="1"/>
  <c r="O247" i="46" s="1"/>
  <c r="P247" i="46" s="1" a="1"/>
  <c r="P247" i="46" s="1"/>
  <c r="E262" i="46"/>
  <c r="M262" i="46" s="1"/>
  <c r="O262" i="46" s="1"/>
  <c r="P262" i="46" s="1" a="1"/>
  <c r="P262" i="46" s="1"/>
  <c r="E161" i="46"/>
  <c r="E206" i="46"/>
  <c r="E88" i="46"/>
  <c r="E68" i="46"/>
  <c r="E138" i="46"/>
  <c r="E171" i="46"/>
  <c r="E268" i="46"/>
  <c r="M268" i="46" s="1"/>
  <c r="O268" i="46" s="1"/>
  <c r="P268" i="46" s="1" a="1"/>
  <c r="P268" i="46" s="1"/>
  <c r="E106" i="46"/>
  <c r="E126" i="46"/>
  <c r="E187" i="46"/>
  <c r="M187" i="46" s="1"/>
  <c r="O187" i="46" s="1"/>
  <c r="P187" i="46" s="1" a="1"/>
  <c r="P187" i="46" s="1"/>
  <c r="E298" i="46"/>
  <c r="M298" i="46" s="1"/>
  <c r="O298" i="46" s="1"/>
  <c r="P298" i="46" s="1" a="1"/>
  <c r="P298" i="46" s="1"/>
  <c r="E44" i="46"/>
  <c r="E57" i="46"/>
  <c r="M57" i="46" s="1"/>
  <c r="O57" i="46" s="1"/>
  <c r="P57" i="46" s="1" a="1"/>
  <c r="P57" i="46" s="1"/>
  <c r="E269" i="46"/>
  <c r="E65" i="46"/>
  <c r="E156" i="46"/>
  <c r="E136" i="46"/>
  <c r="M136" i="46" s="1"/>
  <c r="O136" i="46" s="1"/>
  <c r="P136" i="46" s="1" a="1"/>
  <c r="P136" i="46" s="1"/>
  <c r="E125" i="46"/>
  <c r="M125" i="46" s="1"/>
  <c r="O125" i="46" s="1"/>
  <c r="P125" i="46" s="1" a="1"/>
  <c r="P125" i="46" s="1"/>
  <c r="E173" i="46"/>
  <c r="E83" i="46"/>
  <c r="M83" i="46" s="1"/>
  <c r="O83" i="46" s="1"/>
  <c r="P83" i="46" s="1" a="1"/>
  <c r="P83" i="46" s="1"/>
  <c r="E93" i="46"/>
  <c r="E216" i="46"/>
  <c r="M216" i="46" s="1"/>
  <c r="O216" i="46" s="1"/>
  <c r="P216" i="46" s="1" a="1"/>
  <c r="P216" i="46" s="1"/>
  <c r="E148" i="46"/>
  <c r="E56" i="46"/>
  <c r="E193" i="46"/>
  <c r="M193" i="46" s="1"/>
  <c r="O193" i="46" s="1"/>
  <c r="P193" i="46" s="1" a="1"/>
  <c r="P193" i="46" s="1"/>
  <c r="E117" i="46"/>
  <c r="M117" i="46" s="1"/>
  <c r="O117" i="46" s="1"/>
  <c r="P117" i="46" s="1" a="1"/>
  <c r="P117" i="46" s="1"/>
  <c r="E32" i="46"/>
  <c r="E284" i="46"/>
  <c r="M284" i="46" s="1"/>
  <c r="O284" i="46" s="1"/>
  <c r="P284" i="46" s="1" a="1"/>
  <c r="P284" i="46" s="1"/>
  <c r="E109" i="46"/>
  <c r="M109" i="46" s="1"/>
  <c r="O109" i="46" s="1"/>
  <c r="P109" i="46" s="1" a="1"/>
  <c r="P109" i="46" s="1"/>
  <c r="E130" i="46"/>
  <c r="M130" i="46" s="1"/>
  <c r="O130" i="46" s="1"/>
  <c r="P130" i="46" s="1" a="1"/>
  <c r="P130" i="46" s="1"/>
  <c r="E111" i="46"/>
  <c r="M111" i="46" s="1"/>
  <c r="O111" i="46" s="1"/>
  <c r="P111" i="46" s="1" a="1"/>
  <c r="P111" i="46" s="1"/>
  <c r="E245" i="46"/>
  <c r="M245" i="46" s="1"/>
  <c r="O245" i="46" s="1"/>
  <c r="P245" i="46" s="1" a="1"/>
  <c r="P245" i="46" s="1"/>
  <c r="E81" i="46"/>
  <c r="E151" i="46"/>
  <c r="E235" i="46"/>
  <c r="E31" i="46"/>
  <c r="E16" i="46"/>
  <c r="M16" i="46" s="1"/>
  <c r="O16" i="46" s="1"/>
  <c r="P16" i="46" s="1" a="1"/>
  <c r="P16" i="46" s="1"/>
  <c r="E319" i="46"/>
  <c r="M319" i="46" s="1"/>
  <c r="O319" i="46" s="1"/>
  <c r="P319" i="46" s="1" a="1"/>
  <c r="P319" i="46" s="1"/>
  <c r="E119" i="46"/>
  <c r="M119" i="46" s="1"/>
  <c r="O119" i="46" s="1"/>
  <c r="P119" i="46" s="1" a="1"/>
  <c r="P119" i="46" s="1"/>
  <c r="E241" i="46"/>
  <c r="M241" i="46" s="1"/>
  <c r="O241" i="46" s="1"/>
  <c r="P241" i="46" s="1" a="1"/>
  <c r="P241" i="46" s="1"/>
  <c r="E61" i="46"/>
  <c r="M61" i="46" s="1"/>
  <c r="O61" i="46" s="1"/>
  <c r="P61" i="46" s="1" a="1"/>
  <c r="P61" i="46" s="1"/>
  <c r="E175" i="46"/>
  <c r="M175" i="46" s="1"/>
  <c r="O175" i="46" s="1"/>
  <c r="P175" i="46" s="1" a="1"/>
  <c r="P175" i="46" s="1"/>
  <c r="E112" i="46"/>
  <c r="E116" i="46"/>
  <c r="M116" i="46" s="1"/>
  <c r="O116" i="46" s="1"/>
  <c r="P116" i="46" s="1" a="1"/>
  <c r="P116" i="46" s="1"/>
  <c r="E108" i="46"/>
  <c r="E210" i="46"/>
  <c r="E164" i="46"/>
  <c r="M164" i="46" s="1"/>
  <c r="O164" i="46" s="1"/>
  <c r="P164" i="46" s="1" a="1"/>
  <c r="P164" i="46" s="1"/>
  <c r="E242" i="46"/>
  <c r="M242" i="46" s="1"/>
  <c r="O242" i="46" s="1"/>
  <c r="P242" i="46" s="1" a="1"/>
  <c r="P242" i="46" s="1"/>
  <c r="E168" i="46"/>
  <c r="M168" i="46" s="1"/>
  <c r="O168" i="46" s="1"/>
  <c r="P168" i="46" s="1" a="1"/>
  <c r="P168" i="46" s="1"/>
  <c r="E84" i="46"/>
  <c r="M84" i="46" s="1"/>
  <c r="O84" i="46" s="1"/>
  <c r="P84" i="46" s="1" a="1"/>
  <c r="P84" i="46" s="1"/>
  <c r="E18" i="46"/>
  <c r="M18" i="46" s="1"/>
  <c r="O18" i="46" s="1"/>
  <c r="P18" i="46" s="1" a="1"/>
  <c r="P18" i="46" s="1"/>
  <c r="E300" i="46"/>
  <c r="M300" i="46" s="1"/>
  <c r="O300" i="46" s="1"/>
  <c r="P300" i="46" s="1" a="1"/>
  <c r="P300" i="46" s="1"/>
  <c r="E140" i="46"/>
  <c r="M140" i="46" s="1"/>
  <c r="O140" i="46" s="1"/>
  <c r="P140" i="46" s="1" a="1"/>
  <c r="P140" i="46" s="1"/>
  <c r="E204" i="46"/>
  <c r="M204" i="46" s="1"/>
  <c r="O204" i="46" s="1"/>
  <c r="P204" i="46" s="1" a="1"/>
  <c r="P204" i="46" s="1"/>
  <c r="E9" i="46"/>
  <c r="E23" i="46"/>
  <c r="M23" i="46" s="1"/>
  <c r="O23" i="46" s="1"/>
  <c r="P23" i="46" s="1" a="1"/>
  <c r="P23" i="46" s="1"/>
  <c r="E311" i="46"/>
  <c r="E153" i="46"/>
  <c r="M153" i="46" s="1"/>
  <c r="O153" i="46" s="1"/>
  <c r="P153" i="46" s="1" a="1"/>
  <c r="P153" i="46" s="1"/>
  <c r="E299" i="46"/>
  <c r="M299" i="46" s="1"/>
  <c r="O299" i="46" s="1"/>
  <c r="P299" i="46" s="1" a="1"/>
  <c r="P299" i="46" s="1"/>
  <c r="E184" i="46"/>
  <c r="M184" i="46" s="1"/>
  <c r="O184" i="46" s="1"/>
  <c r="P184" i="46" s="1" a="1"/>
  <c r="P184" i="46" s="1"/>
  <c r="E189" i="46"/>
  <c r="M189" i="46" s="1"/>
  <c r="O189" i="46" s="1"/>
  <c r="P189" i="46" s="1" a="1"/>
  <c r="P189" i="46" s="1"/>
  <c r="E41" i="46"/>
  <c r="M41" i="46" s="1"/>
  <c r="O41" i="46" s="1"/>
  <c r="P41" i="46" s="1" a="1"/>
  <c r="P41" i="46" s="1"/>
  <c r="E278" i="46"/>
  <c r="M278" i="46" s="1"/>
  <c r="O278" i="46" s="1"/>
  <c r="P278" i="46" s="1" a="1"/>
  <c r="P278" i="46" s="1"/>
  <c r="E30" i="46"/>
  <c r="M30" i="46" s="1"/>
  <c r="O30" i="46" s="1"/>
  <c r="P30" i="46" s="1" a="1"/>
  <c r="P30" i="46" s="1"/>
  <c r="E223" i="46"/>
  <c r="E200" i="46"/>
  <c r="M200" i="46" s="1"/>
  <c r="O200" i="46" s="1"/>
  <c r="P200" i="46" s="1" a="1"/>
  <c r="P200" i="46" s="1"/>
  <c r="E37" i="46"/>
  <c r="M37" i="46" s="1"/>
  <c r="O37" i="46" s="1"/>
  <c r="P37" i="46" s="1" a="1"/>
  <c r="P37" i="46" s="1"/>
  <c r="E28" i="46"/>
  <c r="M28" i="46" s="1"/>
  <c r="O28" i="46" s="1"/>
  <c r="P28" i="46" s="1" a="1"/>
  <c r="P28" i="46" s="1"/>
  <c r="E133" i="46"/>
  <c r="E246" i="46"/>
  <c r="M246" i="46" s="1"/>
  <c r="O246" i="46" s="1"/>
  <c r="P246" i="46" s="1" a="1"/>
  <c r="P246" i="46" s="1"/>
  <c r="E226" i="46"/>
  <c r="M226" i="46" s="1"/>
  <c r="O226" i="46" s="1"/>
  <c r="P226" i="46" s="1" a="1"/>
  <c r="P226" i="46" s="1"/>
  <c r="E137" i="46"/>
  <c r="M137" i="46" s="1"/>
  <c r="O137" i="46" s="1"/>
  <c r="P137" i="46" s="1" a="1"/>
  <c r="P137" i="46" s="1"/>
  <c r="E132" i="46"/>
  <c r="M132" i="46" s="1"/>
  <c r="O132" i="46" s="1"/>
  <c r="P132" i="46" s="1" a="1"/>
  <c r="P132" i="46" s="1"/>
  <c r="E228" i="46"/>
  <c r="M228" i="46" s="1"/>
  <c r="O228" i="46" s="1"/>
  <c r="P228" i="46" s="1" a="1"/>
  <c r="P228" i="46" s="1"/>
  <c r="E205" i="46"/>
  <c r="E43" i="46"/>
  <c r="M43" i="46" s="1"/>
  <c r="O43" i="46" s="1"/>
  <c r="P43" i="46" s="1" a="1"/>
  <c r="P43" i="46" s="1"/>
  <c r="E290" i="46"/>
  <c r="E11" i="46"/>
  <c r="M11" i="46" s="1"/>
  <c r="O11" i="46" s="1"/>
  <c r="P11" i="46" s="1" a="1"/>
  <c r="P11" i="46" s="1"/>
  <c r="E322" i="46"/>
  <c r="M322" i="46" s="1"/>
  <c r="O322" i="46" s="1"/>
  <c r="P322" i="46" s="1" a="1"/>
  <c r="P322" i="46" s="1"/>
  <c r="E315" i="46"/>
  <c r="M315" i="46" s="1"/>
  <c r="O315" i="46" s="1"/>
  <c r="P315" i="46" s="1" a="1"/>
  <c r="P315" i="46" s="1"/>
  <c r="E29" i="46"/>
  <c r="M29" i="46" s="1"/>
  <c r="O29" i="46" s="1"/>
  <c r="P29" i="46" s="1" a="1"/>
  <c r="P29" i="46" s="1"/>
  <c r="E275" i="46"/>
  <c r="M275" i="46" s="1"/>
  <c r="O275" i="46" s="1"/>
  <c r="P275" i="46" s="1" a="1"/>
  <c r="P275" i="46" s="1"/>
  <c r="E38" i="46"/>
  <c r="M38" i="46" s="1"/>
  <c r="O38" i="46" s="1"/>
  <c r="P38" i="46" s="1" a="1"/>
  <c r="P38" i="46" s="1"/>
  <c r="E238" i="46"/>
  <c r="M238" i="46" s="1"/>
  <c r="O238" i="46" s="1"/>
  <c r="P238" i="46" s="1" a="1"/>
  <c r="P238" i="46" s="1"/>
  <c r="E118" i="46"/>
  <c r="M118" i="46" s="1"/>
  <c r="O118" i="46" s="1"/>
  <c r="P118" i="46" s="1" a="1"/>
  <c r="P118" i="46" s="1"/>
  <c r="E199" i="46"/>
  <c r="M199" i="46" s="1"/>
  <c r="O199" i="46" s="1"/>
  <c r="P199" i="46" s="1" a="1"/>
  <c r="P199" i="46" s="1"/>
  <c r="E39" i="46"/>
  <c r="E54" i="46"/>
  <c r="M54" i="46" s="1"/>
  <c r="O54" i="46" s="1"/>
  <c r="P54" i="46" s="1" a="1"/>
  <c r="P54" i="46" s="1"/>
  <c r="E317" i="46"/>
  <c r="M317" i="46" s="1"/>
  <c r="O317" i="46" s="1"/>
  <c r="P317" i="46" s="1" a="1"/>
  <c r="P317" i="46" s="1"/>
  <c r="E297" i="46"/>
  <c r="M297" i="46" s="1"/>
  <c r="O297" i="46" s="1"/>
  <c r="P297" i="46" s="1" a="1"/>
  <c r="P297" i="46" s="1"/>
  <c r="E166" i="46"/>
  <c r="E257" i="46"/>
  <c r="E135" i="46"/>
  <c r="M135" i="46" s="1"/>
  <c r="O135" i="46" s="1"/>
  <c r="P135" i="46" s="1" a="1"/>
  <c r="P135" i="46" s="1"/>
  <c r="E179" i="46"/>
  <c r="M179" i="46" s="1"/>
  <c r="O179" i="46" s="1"/>
  <c r="P179" i="46" s="1" a="1"/>
  <c r="P179" i="46" s="1"/>
  <c r="E115" i="46"/>
  <c r="M115" i="46" s="1"/>
  <c r="O115" i="46" s="1"/>
  <c r="P115" i="46" s="1" a="1"/>
  <c r="P115" i="46" s="1"/>
  <c r="E160" i="46"/>
  <c r="M160" i="46" s="1"/>
  <c r="O160" i="46" s="1"/>
  <c r="P160" i="46" s="1" a="1"/>
  <c r="P160" i="46" s="1"/>
  <c r="E256" i="46"/>
  <c r="M256" i="46" s="1"/>
  <c r="O256" i="46" s="1"/>
  <c r="P256" i="46" s="1" a="1"/>
  <c r="P256" i="46" s="1"/>
  <c r="E143" i="46"/>
  <c r="M143" i="46" s="1"/>
  <c r="O143" i="46" s="1"/>
  <c r="P143" i="46" s="1" a="1"/>
  <c r="P143" i="46" s="1"/>
  <c r="E272" i="46"/>
  <c r="M272" i="46" s="1"/>
  <c r="O272" i="46" s="1"/>
  <c r="P272" i="46" s="1" a="1"/>
  <c r="P272" i="46" s="1"/>
  <c r="E127" i="46"/>
  <c r="M127" i="46" s="1"/>
  <c r="O127" i="46" s="1"/>
  <c r="P127" i="46" s="1" a="1"/>
  <c r="P127" i="46" s="1"/>
  <c r="E190" i="46"/>
  <c r="M190" i="46" s="1"/>
  <c r="O190" i="46" s="1"/>
  <c r="P190" i="46" s="1" a="1"/>
  <c r="P190" i="46" s="1"/>
  <c r="E7" i="46"/>
  <c r="M7" i="46" s="1"/>
  <c r="O7" i="46" s="1"/>
  <c r="P7" i="46" s="1" a="1"/>
  <c r="P7" i="46" s="1"/>
  <c r="E310" i="46"/>
  <c r="M310" i="46" s="1"/>
  <c r="O310" i="46" s="1"/>
  <c r="P310" i="46" s="1" a="1"/>
  <c r="P310" i="46" s="1"/>
  <c r="E107" i="46"/>
  <c r="M107" i="46" s="1"/>
  <c r="O107" i="46" s="1"/>
  <c r="P107" i="46" s="1" a="1"/>
  <c r="P107" i="46" s="1"/>
  <c r="E274" i="46"/>
  <c r="E94" i="46"/>
  <c r="M94" i="46" s="1"/>
  <c r="O94" i="46" s="1"/>
  <c r="P94" i="46" s="1" a="1"/>
  <c r="P94" i="46" s="1"/>
  <c r="E195" i="46"/>
  <c r="M195" i="46" s="1"/>
  <c r="O195" i="46" s="1"/>
  <c r="P195" i="46" s="1" a="1"/>
  <c r="P195" i="46" s="1"/>
  <c r="E231" i="46"/>
  <c r="M231" i="46" s="1"/>
  <c r="O231" i="46" s="1"/>
  <c r="P231" i="46" s="1" a="1"/>
  <c r="P231" i="46" s="1"/>
  <c r="E177" i="46"/>
  <c r="M177" i="46" s="1"/>
  <c r="O177" i="46" s="1"/>
  <c r="P177" i="46" s="1" a="1"/>
  <c r="P177" i="46" s="1"/>
  <c r="E85" i="46"/>
  <c r="M85" i="46" s="1"/>
  <c r="O85" i="46" s="1"/>
  <c r="P85" i="46" s="1" a="1"/>
  <c r="P85" i="46" s="1"/>
  <c r="E321" i="46"/>
  <c r="M321" i="46" s="1"/>
  <c r="O321" i="46" s="1"/>
  <c r="P321" i="46" s="1" a="1"/>
  <c r="P321" i="46" s="1"/>
  <c r="E252" i="46"/>
  <c r="M252" i="46" s="1"/>
  <c r="O252" i="46" s="1"/>
  <c r="P252" i="46" s="1" a="1"/>
  <c r="P252" i="46" s="1"/>
  <c r="E162" i="46"/>
  <c r="M162" i="46" s="1"/>
  <c r="O162" i="46" s="1"/>
  <c r="P162" i="46" s="1" a="1"/>
  <c r="P162" i="46" s="1"/>
  <c r="E208" i="46"/>
  <c r="M208" i="46" s="1"/>
  <c r="O208" i="46" s="1"/>
  <c r="P208" i="46" s="1" a="1"/>
  <c r="P208" i="46" s="1"/>
  <c r="E240" i="46"/>
  <c r="E207" i="46"/>
  <c r="M207" i="46" s="1"/>
  <c r="O207" i="46" s="1"/>
  <c r="P207" i="46" s="1" a="1"/>
  <c r="P207" i="46" s="1"/>
  <c r="E58" i="46"/>
  <c r="M58" i="46" s="1"/>
  <c r="O58" i="46" s="1"/>
  <c r="P58" i="46" s="1" a="1"/>
  <c r="P58" i="46" s="1"/>
  <c r="E63" i="46"/>
  <c r="M63" i="46" s="1"/>
  <c r="O63" i="46" s="1"/>
  <c r="P63" i="46" s="1" a="1"/>
  <c r="P63" i="46" s="1"/>
  <c r="E122" i="46"/>
  <c r="M122" i="46" s="1"/>
  <c r="O122" i="46" s="1"/>
  <c r="P122" i="46" s="1" a="1"/>
  <c r="P122" i="46" s="1"/>
  <c r="E128" i="46"/>
  <c r="E183" i="46"/>
  <c r="M183" i="46" s="1"/>
  <c r="O183" i="46" s="1"/>
  <c r="P183" i="46" s="1" a="1"/>
  <c r="P183" i="46" s="1"/>
  <c r="E185" i="46"/>
  <c r="M185" i="46" s="1"/>
  <c r="O185" i="46" s="1"/>
  <c r="P185" i="46" s="1" a="1"/>
  <c r="P185" i="46" s="1"/>
  <c r="E96" i="46"/>
  <c r="E253" i="46"/>
  <c r="M253" i="46" s="1"/>
  <c r="O253" i="46" s="1"/>
  <c r="P253" i="46" s="1" a="1"/>
  <c r="P253" i="46" s="1"/>
  <c r="E79" i="46"/>
  <c r="M79" i="46" s="1"/>
  <c r="O79" i="46" s="1"/>
  <c r="P79" i="46" s="1" a="1"/>
  <c r="P79" i="46" s="1"/>
  <c r="E40" i="46"/>
  <c r="M40" i="46" s="1"/>
  <c r="O40" i="46" s="1"/>
  <c r="P40" i="46" s="1" a="1"/>
  <c r="P40" i="46" s="1"/>
  <c r="E55" i="46"/>
  <c r="M55" i="46" s="1"/>
  <c r="O55" i="46" s="1"/>
  <c r="P55" i="46" s="1" a="1"/>
  <c r="P55" i="46" s="1"/>
  <c r="E72" i="46"/>
  <c r="M72" i="46" s="1"/>
  <c r="O72" i="46" s="1"/>
  <c r="P72" i="46" s="1" a="1"/>
  <c r="P72" i="46" s="1"/>
  <c r="E99" i="46"/>
  <c r="M99" i="46" s="1"/>
  <c r="O99" i="46" s="1"/>
  <c r="P99" i="46" s="1" a="1"/>
  <c r="P99" i="46" s="1"/>
  <c r="E233" i="46"/>
  <c r="M233" i="46" s="1"/>
  <c r="O233" i="46" s="1"/>
  <c r="P233" i="46" s="1" a="1"/>
  <c r="P233" i="46" s="1"/>
  <c r="E64" i="46"/>
  <c r="M64" i="46" s="1"/>
  <c r="O64" i="46" s="1"/>
  <c r="P64" i="46" s="1" a="1"/>
  <c r="P64" i="46" s="1"/>
  <c r="E219" i="46"/>
  <c r="M219" i="46" s="1"/>
  <c r="O219" i="46" s="1"/>
  <c r="P219" i="46" s="1" a="1"/>
  <c r="P219" i="46" s="1"/>
  <c r="E145" i="46"/>
  <c r="M145" i="46" s="1"/>
  <c r="O145" i="46" s="1"/>
  <c r="P145" i="46" s="1" a="1"/>
  <c r="P145" i="46" s="1"/>
  <c r="E146" i="46"/>
  <c r="M146" i="46" s="1"/>
  <c r="O146" i="46" s="1"/>
  <c r="P146" i="46" s="1" a="1"/>
  <c r="P146" i="46" s="1"/>
  <c r="C129" i="56"/>
  <c r="E229" i="46"/>
  <c r="M229" i="46" s="1"/>
  <c r="O229" i="46" s="1"/>
  <c r="P229" i="46" s="1" a="1"/>
  <c r="P229" i="46" s="1"/>
  <c r="E50" i="46"/>
  <c r="M50" i="46" s="1"/>
  <c r="O50" i="46" s="1"/>
  <c r="P50" i="46" s="1" a="1"/>
  <c r="P50" i="46" s="1"/>
  <c r="E218" i="46"/>
  <c r="M218" i="46" s="1"/>
  <c r="O218" i="46" s="1"/>
  <c r="P218" i="46" s="1" a="1"/>
  <c r="P218" i="46" s="1"/>
  <c r="E258" i="46"/>
  <c r="M258" i="46" s="1"/>
  <c r="O258" i="46" s="1"/>
  <c r="P258" i="46" s="1" a="1"/>
  <c r="P258" i="46" s="1"/>
  <c r="E66" i="46"/>
  <c r="M66" i="46" s="1"/>
  <c r="O66" i="46" s="1"/>
  <c r="P66" i="46" s="1" a="1"/>
  <c r="P66" i="46" s="1"/>
  <c r="E212" i="46"/>
  <c r="M212" i="46" s="1"/>
  <c r="O212" i="46" s="1"/>
  <c r="P212" i="46" s="1" a="1"/>
  <c r="P212" i="46" s="1"/>
  <c r="E277" i="46"/>
  <c r="M277" i="46" s="1"/>
  <c r="O277" i="46" s="1"/>
  <c r="P277" i="46" s="1" a="1"/>
  <c r="P277" i="46" s="1"/>
  <c r="E17" i="46"/>
  <c r="M17" i="46" s="1"/>
  <c r="O17" i="46" s="1"/>
  <c r="P17" i="46" s="1" a="1"/>
  <c r="P17" i="46" s="1"/>
  <c r="E287" i="46"/>
  <c r="M287" i="46" s="1"/>
  <c r="O287" i="46" s="1"/>
  <c r="P287" i="46" s="1" a="1"/>
  <c r="P287" i="46" s="1"/>
  <c r="E15" i="46"/>
  <c r="M15" i="46" s="1"/>
  <c r="O15" i="46" s="1"/>
  <c r="P15" i="46" s="1" a="1"/>
  <c r="P15" i="46" s="1"/>
  <c r="C112" i="56"/>
  <c r="E264" i="46"/>
  <c r="M264" i="46" s="1"/>
  <c r="O264" i="46" s="1"/>
  <c r="P264" i="46" s="1" a="1"/>
  <c r="P264" i="46" s="1"/>
  <c r="E201" i="46"/>
  <c r="M201" i="46" s="1"/>
  <c r="O201" i="46" s="1"/>
  <c r="P201" i="46" s="1" a="1"/>
  <c r="P201" i="46" s="1"/>
  <c r="E62" i="46"/>
  <c r="M62" i="46" s="1"/>
  <c r="O62" i="46" s="1"/>
  <c r="P62" i="46" s="1" a="1"/>
  <c r="P62" i="46" s="1"/>
  <c r="E295" i="46"/>
  <c r="M295" i="46" s="1"/>
  <c r="O295" i="46" s="1"/>
  <c r="P295" i="46" s="1" a="1"/>
  <c r="P295" i="46" s="1"/>
  <c r="E271" i="46"/>
  <c r="M271" i="46" s="1"/>
  <c r="O271" i="46" s="1"/>
  <c r="P271" i="46" s="1" a="1"/>
  <c r="P271" i="46" s="1"/>
  <c r="E82" i="46"/>
  <c r="M82" i="46" s="1"/>
  <c r="O82" i="46" s="1"/>
  <c r="P82" i="46" s="1" a="1"/>
  <c r="P82" i="46" s="1"/>
  <c r="E239" i="46"/>
  <c r="M239" i="46" s="1"/>
  <c r="O239" i="46" s="1"/>
  <c r="P239" i="46" s="1" a="1"/>
  <c r="P239" i="46" s="1"/>
  <c r="C38" i="56"/>
  <c r="E100" i="46"/>
  <c r="M100" i="46" s="1"/>
  <c r="O100" i="46" s="1"/>
  <c r="P100" i="46" s="1" a="1"/>
  <c r="P100" i="46" s="1"/>
  <c r="E95" i="46"/>
  <c r="M95" i="46" s="1"/>
  <c r="O95" i="46" s="1"/>
  <c r="P95" i="46" s="1" a="1"/>
  <c r="P95" i="46" s="1"/>
  <c r="E25" i="46"/>
  <c r="M25" i="46" s="1"/>
  <c r="O25" i="46" s="1"/>
  <c r="P25" i="46" s="1" a="1"/>
  <c r="P25" i="46" s="1"/>
  <c r="E27" i="46"/>
  <c r="M27" i="46" s="1"/>
  <c r="O27" i="46" s="1"/>
  <c r="P27" i="46" s="1" a="1"/>
  <c r="P27" i="46" s="1"/>
  <c r="E305" i="46"/>
  <c r="M305" i="46" s="1"/>
  <c r="O305" i="46" s="1"/>
  <c r="P305" i="46" s="1" a="1"/>
  <c r="P305" i="46" s="1"/>
  <c r="E89" i="46"/>
  <c r="M89" i="46" s="1"/>
  <c r="O89" i="46" s="1"/>
  <c r="P89" i="46" s="1" a="1"/>
  <c r="P89" i="46" s="1"/>
  <c r="C68" i="56"/>
  <c r="E188" i="46"/>
  <c r="M188" i="46" s="1"/>
  <c r="O188" i="46" s="1"/>
  <c r="P188" i="46" s="1" a="1"/>
  <c r="P188" i="46" s="1"/>
  <c r="E237" i="46"/>
  <c r="M237" i="46" s="1"/>
  <c r="O237" i="46" s="1"/>
  <c r="P237" i="46" s="1" a="1"/>
  <c r="P237" i="46" s="1"/>
  <c r="E24" i="46"/>
  <c r="M24" i="46" s="1"/>
  <c r="O24" i="46" s="1"/>
  <c r="P24" i="46" s="1" a="1"/>
  <c r="P24" i="46" s="1"/>
  <c r="E26" i="46"/>
  <c r="E71" i="46"/>
  <c r="M71" i="46" s="1"/>
  <c r="O71" i="46" s="1"/>
  <c r="P71" i="46" s="1" a="1"/>
  <c r="P71" i="46" s="1"/>
  <c r="E102" i="46"/>
  <c r="M102" i="46" s="1"/>
  <c r="O102" i="46" s="1"/>
  <c r="P102" i="46" s="1" a="1"/>
  <c r="P102" i="46" s="1"/>
  <c r="E320" i="46"/>
  <c r="M320" i="46" s="1"/>
  <c r="O320" i="46" s="1"/>
  <c r="P320" i="46" s="1" a="1"/>
  <c r="P320" i="46" s="1"/>
  <c r="E266" i="46"/>
  <c r="M266" i="46" s="1"/>
  <c r="O266" i="46" s="1"/>
  <c r="P266" i="46" s="1" a="1"/>
  <c r="P266" i="46" s="1"/>
  <c r="E318" i="46"/>
  <c r="M318" i="46" s="1"/>
  <c r="O318" i="46" s="1"/>
  <c r="P318" i="46" s="1" a="1"/>
  <c r="P318" i="46" s="1"/>
  <c r="E292" i="46"/>
  <c r="M292" i="46" s="1"/>
  <c r="O292" i="46" s="1"/>
  <c r="P292" i="46" s="1" a="1"/>
  <c r="P292" i="46" s="1"/>
  <c r="E124" i="46"/>
  <c r="M124" i="46" s="1"/>
  <c r="O124" i="46" s="1"/>
  <c r="P124" i="46" s="1" a="1"/>
  <c r="P124" i="46" s="1"/>
  <c r="E214" i="46"/>
  <c r="M214" i="46" s="1"/>
  <c r="O214" i="46" s="1"/>
  <c r="P214" i="46" s="1" a="1"/>
  <c r="P214" i="46" s="1"/>
  <c r="E46" i="46"/>
  <c r="M46" i="46" s="1"/>
  <c r="O46" i="46" s="1"/>
  <c r="P46" i="46" s="1" a="1"/>
  <c r="P46" i="46" s="1"/>
  <c r="E254" i="46"/>
  <c r="M254" i="46" s="1"/>
  <c r="O254" i="46" s="1"/>
  <c r="P254" i="46" s="1" a="1"/>
  <c r="P254" i="46" s="1"/>
  <c r="E197" i="46"/>
  <c r="M197" i="46" s="1"/>
  <c r="O197" i="46" s="1"/>
  <c r="P197" i="46" s="1" a="1"/>
  <c r="P197" i="46" s="1"/>
  <c r="C98" i="56"/>
  <c r="E202" i="46"/>
  <c r="M202" i="46" s="1"/>
  <c r="O202" i="46" s="1"/>
  <c r="P202" i="46" s="1" a="1"/>
  <c r="P202" i="46" s="1"/>
  <c r="E142" i="46"/>
  <c r="M142" i="46" s="1"/>
  <c r="O142" i="46" s="1"/>
  <c r="P142" i="46" s="1" a="1"/>
  <c r="P142" i="46" s="1"/>
  <c r="C110" i="56"/>
  <c r="E131" i="46"/>
  <c r="M131" i="46" s="1"/>
  <c r="O131" i="46" s="1"/>
  <c r="P131" i="46" s="1" a="1"/>
  <c r="P131" i="46" s="1"/>
  <c r="E101" i="46"/>
  <c r="M101" i="46" s="1"/>
  <c r="O101" i="46" s="1"/>
  <c r="P101" i="46" s="1" a="1"/>
  <c r="P101" i="46" s="1"/>
  <c r="E147" i="46"/>
  <c r="M147" i="46" s="1"/>
  <c r="O147" i="46" s="1"/>
  <c r="P147" i="46" s="1" a="1"/>
  <c r="P147" i="46" s="1"/>
  <c r="E165" i="46"/>
  <c r="M165" i="46" s="1"/>
  <c r="O165" i="46" s="1"/>
  <c r="P165" i="46" s="1" a="1"/>
  <c r="P165" i="46" s="1"/>
  <c r="E167" i="46"/>
  <c r="E86" i="46"/>
  <c r="M86" i="46" s="1"/>
  <c r="O86" i="46" s="1"/>
  <c r="P86" i="46" s="1" a="1"/>
  <c r="P86" i="46" s="1"/>
  <c r="E34" i="46"/>
  <c r="M34" i="46" s="1"/>
  <c r="O34" i="46" s="1"/>
  <c r="P34" i="46" s="1" a="1"/>
  <c r="P34" i="46" s="1"/>
  <c r="E141" i="46"/>
  <c r="M141" i="46" s="1"/>
  <c r="O141" i="46" s="1"/>
  <c r="P141" i="46" s="1" a="1"/>
  <c r="P141" i="46" s="1"/>
  <c r="E92" i="46"/>
  <c r="M92" i="46" s="1"/>
  <c r="O92" i="46" s="1"/>
  <c r="P92" i="46" s="1" a="1"/>
  <c r="P92" i="46" s="1"/>
  <c r="C97" i="56"/>
  <c r="C87" i="56"/>
  <c r="C50" i="56"/>
  <c r="E288" i="46"/>
  <c r="M288" i="46" s="1"/>
  <c r="O288" i="46" s="1"/>
  <c r="P288" i="46" s="1" a="1"/>
  <c r="P288" i="46" s="1"/>
  <c r="E306" i="46"/>
  <c r="M306" i="46" s="1"/>
  <c r="O306" i="46" s="1"/>
  <c r="P306" i="46" s="1" a="1"/>
  <c r="P306" i="46" s="1"/>
  <c r="E180" i="46"/>
  <c r="M180" i="46" s="1"/>
  <c r="O180" i="46" s="1"/>
  <c r="P180" i="46" s="1" a="1"/>
  <c r="P180" i="46" s="1"/>
  <c r="E309" i="46"/>
  <c r="M309" i="46" s="1"/>
  <c r="O309" i="46" s="1"/>
  <c r="P309" i="46" s="1" a="1"/>
  <c r="P309" i="46" s="1"/>
  <c r="E20" i="46"/>
  <c r="M20" i="46" s="1"/>
  <c r="O20" i="46" s="1"/>
  <c r="P20" i="46" s="1" a="1"/>
  <c r="P20" i="46" s="1"/>
  <c r="C63" i="56"/>
  <c r="C6" i="56"/>
  <c r="E3" i="46"/>
  <c r="M3" i="46" s="1"/>
  <c r="O3" i="46" s="1"/>
  <c r="P3" i="46" s="1" a="1"/>
  <c r="P3" i="46" s="1"/>
  <c r="E120" i="46"/>
  <c r="M120" i="46" s="1"/>
  <c r="O120" i="46" s="1"/>
  <c r="P120" i="46" s="1" a="1"/>
  <c r="P120" i="46" s="1"/>
  <c r="E211" i="46"/>
  <c r="M211" i="46" s="1"/>
  <c r="O211" i="46" s="1"/>
  <c r="P211" i="46" s="1" a="1"/>
  <c r="P211" i="46" s="1"/>
  <c r="E48" i="46"/>
  <c r="M48" i="46" s="1"/>
  <c r="O48" i="46" s="1"/>
  <c r="P48" i="46" s="1" a="1"/>
  <c r="P48" i="46" s="1"/>
  <c r="E294" i="46"/>
  <c r="M294" i="46" s="1"/>
  <c r="O294" i="46" s="1"/>
  <c r="P294" i="46" s="1" a="1"/>
  <c r="P294" i="46" s="1"/>
  <c r="E87" i="46"/>
  <c r="M87" i="46" s="1"/>
  <c r="O87" i="46" s="1"/>
  <c r="P87" i="46" s="1" a="1"/>
  <c r="P87" i="46" s="1"/>
  <c r="E53" i="46"/>
  <c r="M53" i="46" s="1"/>
  <c r="O53" i="46" s="1"/>
  <c r="P53" i="46" s="1" a="1"/>
  <c r="P53" i="46" s="1"/>
  <c r="E104" i="46"/>
  <c r="M104" i="46" s="1"/>
  <c r="O104" i="46" s="1"/>
  <c r="P104" i="46" s="1" a="1"/>
  <c r="P104" i="46" s="1"/>
  <c r="E244" i="46"/>
  <c r="M244" i="46" s="1"/>
  <c r="O244" i="46" s="1"/>
  <c r="P244" i="46" s="1" a="1"/>
  <c r="P244" i="46" s="1"/>
  <c r="E98" i="46"/>
  <c r="M98" i="46" s="1"/>
  <c r="O98" i="46" s="1"/>
  <c r="P98" i="46" s="1" a="1"/>
  <c r="P98" i="46" s="1"/>
  <c r="E243" i="46"/>
  <c r="M243" i="46" s="1"/>
  <c r="O243" i="46" s="1"/>
  <c r="P243" i="46" s="1" a="1"/>
  <c r="P243" i="46" s="1"/>
  <c r="E259" i="46"/>
  <c r="M259" i="46" s="1"/>
  <c r="O259" i="46" s="1"/>
  <c r="P259" i="46" s="1" a="1"/>
  <c r="P259" i="46" s="1"/>
  <c r="E76" i="46"/>
  <c r="M76" i="46" s="1"/>
  <c r="O76" i="46" s="1"/>
  <c r="P76" i="46" s="1" a="1"/>
  <c r="P76" i="46" s="1"/>
  <c r="E307" i="46"/>
  <c r="M307" i="46" s="1"/>
  <c r="O307" i="46" s="1"/>
  <c r="P307" i="46" s="1" a="1"/>
  <c r="P307" i="46" s="1"/>
  <c r="C86" i="56"/>
  <c r="E217" i="46"/>
  <c r="M217" i="46" s="1"/>
  <c r="O217" i="46" s="1"/>
  <c r="P217" i="46" s="1" a="1"/>
  <c r="P217" i="46" s="1"/>
  <c r="C36" i="56"/>
  <c r="E279" i="46"/>
  <c r="M279" i="46" s="1"/>
  <c r="O279" i="46" s="1"/>
  <c r="P279" i="46" s="1" a="1"/>
  <c r="P279" i="46" s="1"/>
  <c r="C118" i="56"/>
  <c r="C96" i="56"/>
  <c r="C100" i="56"/>
  <c r="E248" i="46"/>
  <c r="M248" i="46" s="1"/>
  <c r="O248" i="46" s="1"/>
  <c r="P248" i="46" s="1" a="1"/>
  <c r="P248" i="46" s="1"/>
  <c r="E191" i="46"/>
  <c r="M191" i="46" s="1"/>
  <c r="O191" i="46" s="1"/>
  <c r="P191" i="46" s="1" a="1"/>
  <c r="P191" i="46" s="1"/>
  <c r="E276" i="46"/>
  <c r="M276" i="46" s="1"/>
  <c r="O276" i="46" s="1"/>
  <c r="P276" i="46" s="1" a="1"/>
  <c r="P276" i="46" s="1"/>
  <c r="E283" i="46"/>
  <c r="M283" i="46" s="1"/>
  <c r="O283" i="46" s="1"/>
  <c r="P283" i="46" s="1" a="1"/>
  <c r="P283" i="46" s="1"/>
  <c r="C121" i="56"/>
  <c r="E103" i="46"/>
  <c r="M103" i="46" s="1"/>
  <c r="O103" i="46" s="1"/>
  <c r="P103" i="46" s="1" a="1"/>
  <c r="P103" i="46" s="1"/>
  <c r="C56" i="56"/>
  <c r="C70" i="56"/>
  <c r="E172" i="46"/>
  <c r="M172" i="46" s="1"/>
  <c r="O172" i="46" s="1"/>
  <c r="P172" i="46" s="1" a="1"/>
  <c r="P172" i="46" s="1"/>
  <c r="E236" i="46"/>
  <c r="M236" i="46" s="1"/>
  <c r="O236" i="46" s="1"/>
  <c r="P236" i="46" s="1" a="1"/>
  <c r="P236" i="46" s="1"/>
  <c r="C95" i="56"/>
  <c r="E73" i="46"/>
  <c r="M73" i="46" s="1"/>
  <c r="O73" i="46" s="1"/>
  <c r="P73" i="46" s="1" a="1"/>
  <c r="P73" i="46" s="1"/>
  <c r="C124" i="56"/>
  <c r="E19" i="46"/>
  <c r="M19" i="46" s="1"/>
  <c r="O19" i="46" s="1"/>
  <c r="P19" i="46" s="1" a="1"/>
  <c r="P19" i="46" s="1"/>
  <c r="C107" i="56"/>
  <c r="C134" i="56"/>
  <c r="E35" i="46"/>
  <c r="M35" i="46" s="1"/>
  <c r="O35" i="46" s="1"/>
  <c r="P35" i="46" s="1" a="1"/>
  <c r="P35" i="46" s="1"/>
  <c r="C28" i="56"/>
  <c r="C104" i="56"/>
  <c r="E90" i="46"/>
  <c r="M90" i="46" s="1"/>
  <c r="O90" i="46" s="1"/>
  <c r="P90" i="46" s="1" a="1"/>
  <c r="P90" i="46" s="1"/>
  <c r="E281" i="46"/>
  <c r="M281" i="46" s="1"/>
  <c r="O281" i="46" s="1"/>
  <c r="P281" i="46" s="1" a="1"/>
  <c r="P281" i="46" s="1"/>
  <c r="E159" i="46"/>
  <c r="M159" i="46" s="1"/>
  <c r="O159" i="46" s="1"/>
  <c r="P159" i="46" s="1" a="1"/>
  <c r="P159" i="46" s="1"/>
  <c r="E139" i="46"/>
  <c r="M139" i="46" s="1"/>
  <c r="O139" i="46" s="1"/>
  <c r="P139" i="46" s="1" a="1"/>
  <c r="P139" i="46" s="1"/>
  <c r="E10" i="46"/>
  <c r="M10" i="46" s="1"/>
  <c r="O10" i="46" s="1"/>
  <c r="P10" i="46" s="1" a="1"/>
  <c r="P10" i="46" s="1"/>
  <c r="C115" i="56"/>
  <c r="E213" i="46"/>
  <c r="M213" i="46" s="1"/>
  <c r="O213" i="46" s="1"/>
  <c r="P213" i="46" s="1" a="1"/>
  <c r="P213" i="46" s="1"/>
  <c r="E13" i="46"/>
  <c r="M13" i="46" s="1"/>
  <c r="O13" i="46" s="1"/>
  <c r="P13" i="46" s="1" a="1"/>
  <c r="P13" i="46" s="1"/>
  <c r="E174" i="46"/>
  <c r="M174" i="46" s="1"/>
  <c r="O174" i="46" s="1"/>
  <c r="P174" i="46" s="1" a="1"/>
  <c r="P174" i="46" s="1"/>
  <c r="C7" i="56"/>
  <c r="E52" i="46"/>
  <c r="M52" i="46" s="1"/>
  <c r="O52" i="46" s="1"/>
  <c r="P52" i="46" s="1" a="1"/>
  <c r="P52" i="46" s="1"/>
  <c r="E285" i="46"/>
  <c r="M285" i="46" s="1"/>
  <c r="O285" i="46" s="1"/>
  <c r="P285" i="46" s="1" a="1"/>
  <c r="P285" i="46" s="1"/>
  <c r="C114" i="56"/>
  <c r="E12" i="46"/>
  <c r="M12" i="46" s="1"/>
  <c r="O12" i="46" s="1"/>
  <c r="P12" i="46" s="1" a="1"/>
  <c r="P12" i="46" s="1"/>
  <c r="C73" i="56"/>
  <c r="E194" i="46"/>
  <c r="M194" i="46" s="1"/>
  <c r="O194" i="46" s="1"/>
  <c r="P194" i="46" s="1" a="1"/>
  <c r="P194" i="46" s="1"/>
  <c r="E250" i="46"/>
  <c r="M250" i="46" s="1"/>
  <c r="O250" i="46" s="1"/>
  <c r="P250" i="46" s="1" a="1"/>
  <c r="P250" i="46" s="1"/>
  <c r="E301" i="46"/>
  <c r="M301" i="46" s="1"/>
  <c r="O301" i="46" s="1"/>
  <c r="P301" i="46" s="1" a="1"/>
  <c r="P301" i="46" s="1"/>
  <c r="C34" i="56"/>
  <c r="C116" i="56"/>
  <c r="C24" i="56"/>
  <c r="C93" i="56"/>
  <c r="C94" i="56"/>
  <c r="C49" i="56"/>
  <c r="C35" i="56"/>
  <c r="C99" i="56"/>
  <c r="C18" i="56"/>
  <c r="C23" i="56"/>
  <c r="E225" i="46"/>
  <c r="M225" i="46" s="1"/>
  <c r="O225" i="46" s="1"/>
  <c r="P225" i="46" s="1" a="1"/>
  <c r="P225" i="46" s="1"/>
  <c r="E265" i="46"/>
  <c r="M265" i="46" s="1"/>
  <c r="O265" i="46" s="1"/>
  <c r="P265" i="46" s="1" a="1"/>
  <c r="P265" i="46" s="1"/>
  <c r="E181" i="46"/>
  <c r="M181" i="46" s="1"/>
  <c r="O181" i="46" s="1"/>
  <c r="P181" i="46" s="1" a="1"/>
  <c r="P181" i="46" s="1"/>
  <c r="E303" i="46"/>
  <c r="M303" i="46" s="1"/>
  <c r="O303" i="46" s="1"/>
  <c r="P303" i="46" s="1" a="1"/>
  <c r="P303" i="46" s="1"/>
  <c r="E280" i="46"/>
  <c r="M280" i="46" s="1"/>
  <c r="O280" i="46" s="1"/>
  <c r="P280" i="46" s="1" a="1"/>
  <c r="P280" i="46" s="1"/>
  <c r="C3" i="56"/>
  <c r="C25" i="56"/>
  <c r="C122" i="56"/>
  <c r="C21" i="56"/>
  <c r="C51" i="56"/>
  <c r="C66" i="56"/>
  <c r="C119" i="56"/>
  <c r="C59" i="56"/>
  <c r="C32" i="56"/>
  <c r="C48" i="56"/>
  <c r="E232" i="46"/>
  <c r="M232" i="46" s="1"/>
  <c r="O232" i="46" s="1"/>
  <c r="P232" i="46" s="1" a="1"/>
  <c r="P232" i="46" s="1"/>
  <c r="C71" i="56"/>
  <c r="E144" i="46"/>
  <c r="M144" i="46" s="1"/>
  <c r="O144" i="46" s="1"/>
  <c r="P144" i="46" s="1" a="1"/>
  <c r="P144" i="46" s="1"/>
  <c r="C4" i="56"/>
  <c r="C101" i="56"/>
  <c r="C76" i="56"/>
  <c r="E45" i="46"/>
  <c r="M45" i="46" s="1"/>
  <c r="O45" i="46" s="1"/>
  <c r="P45" i="46" s="1" a="1"/>
  <c r="P45" i="46" s="1"/>
  <c r="C79" i="56"/>
  <c r="E97" i="46"/>
  <c r="M97" i="46" s="1"/>
  <c r="O97" i="46" s="1"/>
  <c r="P97" i="46" s="1" a="1"/>
  <c r="P97" i="46" s="1"/>
  <c r="E49" i="46"/>
  <c r="M49" i="46" s="1"/>
  <c r="O49" i="46" s="1"/>
  <c r="P49" i="46" s="1" a="1"/>
  <c r="P49" i="46" s="1"/>
  <c r="E157" i="46"/>
  <c r="M157" i="46" s="1"/>
  <c r="O157" i="46" s="1"/>
  <c r="P157" i="46" s="1" a="1"/>
  <c r="P157" i="46" s="1"/>
  <c r="E110" i="46"/>
  <c r="M110" i="46" s="1"/>
  <c r="O110" i="46" s="1"/>
  <c r="P110" i="46" s="1" a="1"/>
  <c r="P110" i="46" s="1"/>
  <c r="E261" i="46"/>
  <c r="E282" i="46"/>
  <c r="M282" i="46" s="1"/>
  <c r="O282" i="46" s="1"/>
  <c r="P282" i="46" s="1" a="1"/>
  <c r="P282" i="46" s="1"/>
  <c r="E203" i="46"/>
  <c r="M203" i="46" s="1"/>
  <c r="O203" i="46" s="1"/>
  <c r="P203" i="46" s="1" a="1"/>
  <c r="P203" i="46" s="1"/>
  <c r="E263" i="46"/>
  <c r="M263" i="46" s="1"/>
  <c r="O263" i="46" s="1"/>
  <c r="P263" i="46" s="1" a="1"/>
  <c r="P263" i="46" s="1"/>
  <c r="E182" i="46"/>
  <c r="M182" i="46" s="1"/>
  <c r="O182" i="46" s="1"/>
  <c r="P182" i="46" s="1" a="1"/>
  <c r="P182" i="46" s="1"/>
  <c r="C125" i="56"/>
  <c r="C120" i="56"/>
  <c r="C44" i="56"/>
  <c r="C55" i="56"/>
  <c r="C103" i="56"/>
  <c r="E196" i="46"/>
  <c r="C74" i="56"/>
  <c r="C102" i="56"/>
  <c r="C78" i="56"/>
  <c r="C53" i="56"/>
  <c r="C89" i="56"/>
  <c r="C130" i="56"/>
  <c r="E5" i="46"/>
  <c r="M5" i="46" s="1"/>
  <c r="O5" i="46" s="1"/>
  <c r="P5" i="46" s="1" a="1"/>
  <c r="P5" i="46" s="1"/>
  <c r="E69" i="46"/>
  <c r="M69" i="46" s="1"/>
  <c r="O69" i="46" s="1"/>
  <c r="P69" i="46" s="1" a="1"/>
  <c r="P69" i="46" s="1"/>
  <c r="C131" i="56"/>
  <c r="C40" i="56"/>
  <c r="E114" i="46"/>
  <c r="M114" i="46" s="1"/>
  <c r="O114" i="46" s="1"/>
  <c r="P114" i="46" s="1" a="1"/>
  <c r="P114" i="46" s="1"/>
  <c r="C108" i="56"/>
  <c r="E42" i="46"/>
  <c r="M42" i="46" s="1"/>
  <c r="O42" i="46" s="1"/>
  <c r="P42" i="46" s="1" a="1"/>
  <c r="P42" i="46" s="1"/>
  <c r="E267" i="46"/>
  <c r="M267" i="46" s="1"/>
  <c r="O267" i="46" s="1"/>
  <c r="P267" i="46" s="1" a="1"/>
  <c r="P267" i="46" s="1"/>
  <c r="E313" i="46"/>
  <c r="M313" i="46" s="1"/>
  <c r="O313" i="46" s="1"/>
  <c r="P313" i="46" s="1" a="1"/>
  <c r="P313" i="46" s="1"/>
  <c r="E222" i="46"/>
  <c r="M222" i="46" s="1"/>
  <c r="O222" i="46" s="1"/>
  <c r="P222" i="46" s="1" a="1"/>
  <c r="P222" i="46" s="1"/>
  <c r="E260" i="46"/>
  <c r="M260" i="46" s="1"/>
  <c r="O260" i="46" s="1"/>
  <c r="P260" i="46" s="1" a="1"/>
  <c r="P260" i="46" s="1"/>
  <c r="E176" i="46"/>
  <c r="M176" i="46" s="1"/>
  <c r="O176" i="46" s="1"/>
  <c r="P176" i="46" s="1" a="1"/>
  <c r="P176" i="46" s="1"/>
  <c r="E59" i="46"/>
  <c r="M59" i="46" s="1"/>
  <c r="O59" i="46" s="1"/>
  <c r="P59" i="46" s="1" a="1"/>
  <c r="P59" i="46" s="1"/>
  <c r="E304" i="46"/>
  <c r="M304" i="46" s="1"/>
  <c r="O304" i="46" s="1"/>
  <c r="P304" i="46" s="1" a="1"/>
  <c r="P304" i="46" s="1"/>
  <c r="E209" i="46"/>
  <c r="M209" i="46" s="1"/>
  <c r="O209" i="46" s="1"/>
  <c r="P209" i="46" s="1" a="1"/>
  <c r="P209" i="46" s="1"/>
  <c r="E8" i="46"/>
  <c r="M8" i="46" s="1"/>
  <c r="O8" i="46" s="1"/>
  <c r="P8" i="46" s="1" a="1"/>
  <c r="P8" i="46" s="1"/>
  <c r="C19" i="56"/>
  <c r="C128" i="56"/>
  <c r="C17" i="56"/>
  <c r="C27" i="56"/>
  <c r="C132" i="56"/>
  <c r="C47" i="56"/>
  <c r="C90" i="56"/>
  <c r="E21" i="46"/>
  <c r="M21" i="46" s="1"/>
  <c r="O21" i="46" s="1"/>
  <c r="P21" i="46" s="1" a="1"/>
  <c r="P21" i="46" s="1"/>
  <c r="E314" i="46"/>
  <c r="M314" i="46" s="1"/>
  <c r="O314" i="46" s="1"/>
  <c r="P314" i="46" s="1" a="1"/>
  <c r="P314" i="46" s="1"/>
  <c r="E251" i="46"/>
  <c r="M251" i="46" s="1"/>
  <c r="O251" i="46" s="1"/>
  <c r="P251" i="46" s="1" a="1"/>
  <c r="P251" i="46" s="1"/>
  <c r="C67" i="56"/>
  <c r="C133" i="56"/>
  <c r="C75" i="56"/>
  <c r="C8" i="56"/>
  <c r="C14" i="56"/>
  <c r="C41" i="56"/>
  <c r="C62" i="56"/>
  <c r="C13" i="56"/>
  <c r="C11" i="56"/>
  <c r="C135" i="56"/>
  <c r="C77" i="56"/>
  <c r="C42" i="56"/>
  <c r="C88" i="56"/>
  <c r="C54" i="56"/>
  <c r="C37" i="56"/>
  <c r="C92" i="56"/>
  <c r="C81" i="56"/>
  <c r="C109" i="56"/>
  <c r="E6" i="46"/>
  <c r="M6" i="46" s="1"/>
  <c r="O6" i="46" s="1"/>
  <c r="P6" i="46" s="1" a="1"/>
  <c r="P6" i="46" s="1"/>
  <c r="E74" i="46"/>
  <c r="M74" i="46" s="1"/>
  <c r="O74" i="46" s="1"/>
  <c r="P74" i="46" s="1" a="1"/>
  <c r="P74" i="46" s="1"/>
  <c r="E273" i="46"/>
  <c r="M273" i="46" s="1"/>
  <c r="O273" i="46" s="1"/>
  <c r="P273" i="46" s="1" a="1"/>
  <c r="P273" i="46" s="1"/>
  <c r="E105" i="46"/>
  <c r="M105" i="46" s="1"/>
  <c r="O105" i="46" s="1"/>
  <c r="P105" i="46" s="1" a="1"/>
  <c r="P105" i="46" s="1"/>
  <c r="E67" i="46"/>
  <c r="M67" i="46" s="1"/>
  <c r="O67" i="46" s="1"/>
  <c r="P67" i="46" s="1" a="1"/>
  <c r="P67" i="46" s="1"/>
  <c r="E36" i="46"/>
  <c r="M36" i="46" s="1"/>
  <c r="O36" i="46" s="1"/>
  <c r="P36" i="46" s="1" a="1"/>
  <c r="P36" i="46" s="1"/>
  <c r="E14" i="46"/>
  <c r="M14" i="46" s="1"/>
  <c r="O14" i="46" s="1"/>
  <c r="P14" i="46" s="1" a="1"/>
  <c r="P14" i="46" s="1"/>
  <c r="E70" i="46"/>
  <c r="M70" i="46" s="1"/>
  <c r="O70" i="46" s="1"/>
  <c r="P70" i="46" s="1" a="1"/>
  <c r="P70" i="46" s="1"/>
  <c r="E22" i="46"/>
  <c r="M22" i="46" s="1"/>
  <c r="O22" i="46" s="1"/>
  <c r="P22" i="46" s="1" a="1"/>
  <c r="P22" i="46" s="1"/>
  <c r="E230" i="46"/>
  <c r="M230" i="46" s="1"/>
  <c r="O230" i="46" s="1"/>
  <c r="P230" i="46" s="1" a="1"/>
  <c r="P230" i="46" s="1"/>
  <c r="E296" i="46"/>
  <c r="M296" i="46" s="1"/>
  <c r="O296" i="46" s="1"/>
  <c r="P296" i="46" s="1" a="1"/>
  <c r="P296" i="46" s="1"/>
  <c r="C64" i="56"/>
  <c r="C83" i="56"/>
  <c r="C111" i="56"/>
  <c r="C85" i="56"/>
  <c r="C82" i="56"/>
  <c r="C57" i="56"/>
  <c r="C127" i="56"/>
  <c r="E91" i="46"/>
  <c r="M91" i="46" s="1"/>
  <c r="O91" i="46" s="1"/>
  <c r="P91" i="46" s="1" a="1"/>
  <c r="P91" i="46" s="1"/>
  <c r="E227" i="46"/>
  <c r="M227" i="46" s="1"/>
  <c r="O227" i="46" s="1"/>
  <c r="P227" i="46" s="1" a="1"/>
  <c r="P227" i="46" s="1"/>
  <c r="C31" i="56"/>
  <c r="C65" i="56"/>
  <c r="C113" i="56"/>
  <c r="C123" i="56"/>
  <c r="C9" i="56"/>
  <c r="C52" i="56"/>
  <c r="C39" i="56"/>
  <c r="C126" i="56"/>
  <c r="C58" i="56"/>
  <c r="C33" i="56"/>
  <c r="E51" i="46"/>
  <c r="M51" i="46" s="1"/>
  <c r="O51" i="46" s="1"/>
  <c r="P51" i="46" s="1" a="1"/>
  <c r="P51" i="46" s="1"/>
  <c r="E186" i="46"/>
  <c r="M186" i="46" s="1"/>
  <c r="O186" i="46" s="1"/>
  <c r="P186" i="46" s="1" a="1"/>
  <c r="P186" i="46" s="1"/>
  <c r="E302" i="46"/>
  <c r="M302" i="46" s="1"/>
  <c r="O302" i="46" s="1"/>
  <c r="P302" i="46" s="1" a="1"/>
  <c r="P302" i="46" s="1"/>
  <c r="E224" i="46"/>
  <c r="M224" i="46" s="1"/>
  <c r="O224" i="46" s="1"/>
  <c r="P224" i="46" s="1" a="1"/>
  <c r="P224" i="46" s="1"/>
  <c r="E154" i="46"/>
  <c r="M154" i="46" s="1"/>
  <c r="O154" i="46" s="1"/>
  <c r="P154" i="46" s="1" a="1"/>
  <c r="P154" i="46" s="1"/>
  <c r="E33" i="46"/>
  <c r="M33" i="46" s="1"/>
  <c r="O33" i="46" s="1"/>
  <c r="P33" i="46" s="1" a="1"/>
  <c r="P33" i="46" s="1"/>
  <c r="E312" i="46"/>
  <c r="M312" i="46" s="1"/>
  <c r="O312" i="46" s="1"/>
  <c r="P312" i="46" s="1" a="1"/>
  <c r="P312" i="46" s="1"/>
  <c r="E249" i="46"/>
  <c r="M249" i="46" s="1"/>
  <c r="O249" i="46" s="1"/>
  <c r="P249" i="46" s="1" a="1"/>
  <c r="P249" i="46" s="1"/>
  <c r="E152" i="46"/>
  <c r="M152" i="46" s="1"/>
  <c r="O152" i="46" s="1"/>
  <c r="P152" i="46" s="1" a="1"/>
  <c r="P152" i="46" s="1"/>
  <c r="C30" i="56"/>
  <c r="C72" i="56"/>
  <c r="C15" i="56"/>
  <c r="C26" i="56"/>
  <c r="C46" i="56"/>
  <c r="C91" i="56"/>
  <c r="C106" i="56"/>
  <c r="C69" i="56"/>
  <c r="E291" i="46"/>
  <c r="M291" i="46" s="1"/>
  <c r="O291" i="46" s="1"/>
  <c r="P291" i="46" s="1" a="1"/>
  <c r="P291" i="46" s="1"/>
  <c r="C10" i="56"/>
  <c r="C84" i="56"/>
  <c r="E170" i="46"/>
  <c r="M170" i="46" s="1"/>
  <c r="O170" i="46" s="1"/>
  <c r="P170" i="46" s="1" a="1"/>
  <c r="P170" i="46" s="1"/>
  <c r="E60" i="46"/>
  <c r="M60" i="46" s="1"/>
  <c r="O60" i="46" s="1"/>
  <c r="P60" i="46" s="1" a="1"/>
  <c r="P60" i="46" s="1"/>
  <c r="E158" i="46"/>
  <c r="M158" i="46" s="1"/>
  <c r="O158" i="46" s="1"/>
  <c r="P158" i="46" s="1" a="1"/>
  <c r="P158" i="46" s="1"/>
  <c r="E77" i="46"/>
  <c r="M77" i="46" s="1"/>
  <c r="O77" i="46" s="1"/>
  <c r="P77" i="46" s="1" a="1"/>
  <c r="P77" i="46" s="1"/>
  <c r="C105" i="56"/>
  <c r="E150" i="46"/>
  <c r="M150" i="46" s="1"/>
  <c r="O150" i="46" s="1"/>
  <c r="P150" i="46" s="1" a="1"/>
  <c r="P150" i="46" s="1"/>
  <c r="E192" i="46"/>
  <c r="M192" i="46" s="1"/>
  <c r="O192" i="46" s="1"/>
  <c r="P192" i="46" s="1" a="1"/>
  <c r="P192" i="46" s="1"/>
  <c r="E293" i="46"/>
  <c r="M293" i="46" s="1"/>
  <c r="O293" i="46" s="1"/>
  <c r="P293" i="46" s="1" a="1"/>
  <c r="P293" i="46" s="1"/>
  <c r="E198" i="46"/>
  <c r="M198" i="46" s="1"/>
  <c r="O198" i="46" s="1"/>
  <c r="P198" i="46" s="1" a="1"/>
  <c r="P198" i="46" s="1"/>
  <c r="E4" i="46"/>
  <c r="M4" i="46" s="1"/>
  <c r="O4" i="46" s="1"/>
  <c r="P4" i="46" s="1" a="1"/>
  <c r="P4" i="46" s="1"/>
  <c r="C43" i="56"/>
  <c r="C20" i="56"/>
  <c r="C45" i="56"/>
  <c r="C5" i="56"/>
  <c r="C61" i="56"/>
  <c r="C29" i="56"/>
  <c r="C12" i="56"/>
  <c r="F31" i="46"/>
  <c r="F79" i="46"/>
  <c r="F196" i="46"/>
  <c r="F317" i="46"/>
  <c r="F118" i="46"/>
  <c r="F164" i="46"/>
  <c r="F28" i="46"/>
  <c r="F137" i="46"/>
  <c r="F124" i="46"/>
  <c r="F82" i="46"/>
  <c r="F308" i="46"/>
  <c r="F73" i="46"/>
  <c r="F318" i="46"/>
  <c r="F229" i="46"/>
  <c r="F113" i="46"/>
  <c r="F257" i="46"/>
  <c r="F45" i="46"/>
  <c r="F201" i="46"/>
  <c r="F40" i="46"/>
  <c r="F246" i="46"/>
  <c r="F134" i="46"/>
  <c r="F141" i="46"/>
  <c r="F213" i="46"/>
  <c r="F43" i="46"/>
  <c r="F130" i="46"/>
  <c r="F314" i="46"/>
  <c r="F179" i="46"/>
  <c r="F151" i="46"/>
  <c r="F214" i="46"/>
  <c r="F269" i="46"/>
  <c r="F266" i="46"/>
  <c r="F75" i="46"/>
  <c r="F30" i="46"/>
  <c r="F219" i="46"/>
  <c r="F13" i="46"/>
  <c r="F29" i="46"/>
  <c r="F89" i="46"/>
  <c r="F198" i="46"/>
  <c r="F119" i="46"/>
  <c r="F147" i="46"/>
  <c r="F286" i="46"/>
  <c r="F282" i="46"/>
  <c r="F146" i="46"/>
  <c r="F168" i="46"/>
  <c r="F93" i="46"/>
  <c r="F56" i="46"/>
  <c r="F23" i="46"/>
  <c r="F248" i="46"/>
  <c r="F220" i="46"/>
  <c r="F155" i="46"/>
  <c r="F292" i="46"/>
  <c r="F109" i="46"/>
  <c r="F50" i="46"/>
  <c r="F91" i="46"/>
  <c r="F191" i="46"/>
  <c r="F110" i="46"/>
  <c r="F187" i="46"/>
  <c r="F270" i="46"/>
  <c r="F148" i="46"/>
  <c r="F206" i="46"/>
  <c r="F103" i="46"/>
  <c r="F159" i="46"/>
  <c r="F231" i="46"/>
  <c r="F279" i="46"/>
  <c r="F170" i="46"/>
  <c r="F284" i="46"/>
  <c r="F16" i="46"/>
  <c r="F193" i="46"/>
  <c r="F181" i="46"/>
  <c r="F199" i="46"/>
  <c r="F65" i="46"/>
  <c r="F101" i="46"/>
  <c r="F290" i="46"/>
  <c r="F128" i="46"/>
  <c r="F288" i="46"/>
  <c r="F24" i="46"/>
  <c r="F175" i="46"/>
  <c r="F35" i="46"/>
  <c r="F299" i="46"/>
  <c r="F221" i="46"/>
  <c r="F259" i="46"/>
  <c r="F64" i="46"/>
  <c r="F239" i="46"/>
  <c r="F205" i="46"/>
  <c r="F211" i="46"/>
  <c r="F60" i="46"/>
  <c r="F55" i="46"/>
  <c r="F129" i="46"/>
  <c r="F114" i="46"/>
  <c r="F183" i="46"/>
  <c r="F74" i="46"/>
  <c r="F96" i="46"/>
  <c r="F57" i="46"/>
  <c r="F133" i="46"/>
  <c r="F123" i="46"/>
  <c r="F136" i="46"/>
  <c r="F195" i="46"/>
  <c r="F285" i="46"/>
  <c r="F8" i="46"/>
  <c r="F72" i="46"/>
  <c r="F145" i="46"/>
  <c r="F256" i="46"/>
  <c r="F178" i="46"/>
  <c r="F319" i="46"/>
  <c r="F71" i="46"/>
  <c r="F243" i="46"/>
  <c r="F254" i="46"/>
  <c r="F69" i="46"/>
  <c r="F272" i="46"/>
  <c r="F202" i="46"/>
  <c r="F233" i="46"/>
  <c r="F305" i="46"/>
  <c r="F252" i="46"/>
  <c r="F251" i="46"/>
  <c r="F76" i="46"/>
  <c r="F280" i="46"/>
  <c r="F150" i="46"/>
  <c r="F33" i="46"/>
  <c r="F121" i="46"/>
  <c r="F184" i="46"/>
  <c r="F232" i="46"/>
  <c r="F102" i="46"/>
  <c r="F112" i="46"/>
  <c r="F132" i="46"/>
  <c r="F306" i="46"/>
  <c r="F307" i="46"/>
  <c r="F321" i="46"/>
  <c r="F153" i="46"/>
  <c r="F224" i="46"/>
  <c r="F51" i="46"/>
  <c r="F88" i="46"/>
  <c r="F283" i="46"/>
  <c r="F194" i="46"/>
  <c r="F208" i="46"/>
  <c r="F316" i="46"/>
  <c r="F267" i="46"/>
  <c r="F188" i="46"/>
  <c r="F237" i="46"/>
  <c r="F226" i="46"/>
  <c r="F297" i="46"/>
  <c r="F228" i="46"/>
  <c r="F273" i="46"/>
  <c r="F144" i="46"/>
  <c r="F37" i="46"/>
  <c r="F230" i="46"/>
  <c r="F131" i="46"/>
  <c r="F152" i="46"/>
  <c r="F15" i="46"/>
  <c r="F27" i="46"/>
  <c r="F192" i="46"/>
  <c r="F281" i="46"/>
  <c r="F140" i="46"/>
  <c r="F274" i="46"/>
  <c r="F67" i="46"/>
  <c r="F42" i="46"/>
  <c r="F204" i="46"/>
  <c r="F169" i="46"/>
  <c r="F53" i="46"/>
  <c r="F122" i="46"/>
  <c r="F47" i="46"/>
  <c r="F167" i="46"/>
  <c r="F48" i="46"/>
  <c r="F106" i="46"/>
  <c r="F87" i="46"/>
  <c r="F20" i="46"/>
  <c r="F105" i="46"/>
  <c r="F107" i="46"/>
  <c r="F225" i="46"/>
  <c r="F216" i="46"/>
  <c r="F300" i="46"/>
  <c r="F242" i="46"/>
  <c r="F11" i="46"/>
  <c r="F78" i="46"/>
  <c r="F138" i="46"/>
  <c r="F149" i="46"/>
  <c r="F212" i="46"/>
  <c r="F49" i="46"/>
  <c r="F19" i="46"/>
  <c r="F227" i="46"/>
  <c r="F253" i="46"/>
  <c r="F10" i="46"/>
  <c r="F26" i="46"/>
  <c r="F234" i="46"/>
  <c r="F217" i="46"/>
  <c r="F163" i="46"/>
  <c r="F301" i="46"/>
  <c r="F304" i="46"/>
  <c r="F244" i="46"/>
  <c r="F189" i="46"/>
  <c r="F41" i="46"/>
  <c r="F203" i="46"/>
  <c r="F36" i="46"/>
  <c r="F135" i="46"/>
  <c r="F177" i="46"/>
  <c r="F218" i="46"/>
  <c r="F59" i="46"/>
  <c r="F310" i="46"/>
  <c r="F120" i="46"/>
  <c r="F115" i="46"/>
  <c r="F92" i="46"/>
  <c r="F258" i="46"/>
  <c r="F108" i="46"/>
  <c r="F58" i="46"/>
  <c r="F296" i="46"/>
  <c r="F32" i="46"/>
  <c r="F241" i="46"/>
  <c r="F322" i="46"/>
  <c r="F275" i="46"/>
  <c r="F111" i="46"/>
  <c r="F80" i="46"/>
  <c r="F127" i="46"/>
  <c r="F190" i="46"/>
  <c r="F161" i="46"/>
  <c r="F154" i="46"/>
  <c r="F271" i="46"/>
  <c r="F100" i="46"/>
  <c r="F174" i="46"/>
  <c r="F165" i="46"/>
  <c r="F21" i="46"/>
  <c r="F298" i="46"/>
  <c r="F139" i="46"/>
  <c r="F5" i="46"/>
  <c r="F268" i="46"/>
  <c r="F160" i="46"/>
  <c r="F83" i="46"/>
  <c r="F77" i="46"/>
  <c r="F278" i="46"/>
  <c r="F236" i="46"/>
  <c r="F309" i="46"/>
  <c r="F277" i="46"/>
  <c r="F293" i="46"/>
  <c r="F38" i="46"/>
  <c r="F9" i="46"/>
  <c r="F97" i="46"/>
  <c r="F302" i="46"/>
  <c r="F222" i="46"/>
  <c r="F173" i="46"/>
  <c r="F6" i="46"/>
  <c r="F68" i="46"/>
  <c r="F215" i="46"/>
  <c r="F238" i="46"/>
  <c r="F166" i="46"/>
  <c r="F264" i="46"/>
  <c r="F125" i="46"/>
  <c r="F99" i="46"/>
  <c r="F66" i="46"/>
  <c r="F261" i="46"/>
  <c r="F312" i="46"/>
  <c r="F200" i="46"/>
  <c r="F156" i="46"/>
  <c r="F25" i="46"/>
  <c r="F143" i="46"/>
  <c r="F98" i="46"/>
  <c r="F18" i="46"/>
  <c r="F249" i="46"/>
  <c r="F235" i="46"/>
  <c r="F295" i="46"/>
  <c r="F320" i="46"/>
  <c r="F260" i="46"/>
  <c r="F182" i="46"/>
  <c r="F12" i="46"/>
  <c r="F52" i="46"/>
  <c r="F289" i="46"/>
  <c r="F54" i="46"/>
  <c r="F265" i="46"/>
  <c r="F223" i="46"/>
  <c r="F14" i="46"/>
  <c r="F245" i="46"/>
  <c r="F287" i="46"/>
  <c r="F157" i="46"/>
  <c r="F171" i="46"/>
  <c r="F172" i="46"/>
  <c r="F303" i="46"/>
  <c r="F263" i="46"/>
  <c r="F62" i="46"/>
  <c r="F85" i="46"/>
  <c r="F276" i="46"/>
  <c r="F250" i="46"/>
  <c r="F44" i="46"/>
  <c r="F116" i="46"/>
  <c r="F3" i="46"/>
  <c r="F176" i="46"/>
  <c r="F180" i="46"/>
  <c r="F210" i="46"/>
  <c r="F70" i="46"/>
  <c r="F185" i="46"/>
  <c r="F4" i="46"/>
  <c r="F311" i="46"/>
  <c r="F7" i="46"/>
  <c r="F104" i="46"/>
  <c r="F162" i="46"/>
  <c r="F84" i="46"/>
  <c r="F255" i="46"/>
  <c r="F126" i="46"/>
  <c r="F46" i="46"/>
  <c r="F207" i="46"/>
  <c r="F313" i="46"/>
  <c r="F142" i="46"/>
  <c r="F63" i="46"/>
  <c r="F197" i="46"/>
  <c r="F315" i="46"/>
  <c r="F86" i="46"/>
  <c r="F240" i="46"/>
  <c r="F61" i="46"/>
  <c r="F95" i="46"/>
  <c r="F39" i="46"/>
  <c r="F209" i="46"/>
  <c r="F294" i="46"/>
  <c r="F94" i="46"/>
  <c r="F90" i="46"/>
  <c r="F81" i="46"/>
  <c r="F34" i="46"/>
  <c r="F158" i="46"/>
  <c r="F117" i="46"/>
  <c r="F262" i="46"/>
  <c r="F186" i="46"/>
  <c r="F17" i="46"/>
  <c r="F22" i="46"/>
  <c r="F247" i="46"/>
  <c r="F291" i="46"/>
  <c r="C80" i="56"/>
  <c r="C60" i="56"/>
  <c r="C136" i="56"/>
  <c r="C22" i="56"/>
  <c r="C16" i="56"/>
  <c r="E155" i="46"/>
  <c r="M155" i="46" s="1"/>
  <c r="O155" i="46" s="1"/>
  <c r="P155" i="46" s="1" a="1"/>
  <c r="P155" i="46" s="1"/>
  <c r="C117" i="56"/>
  <c r="M196" i="46" l="1"/>
  <c r="O196" i="46" s="1"/>
  <c r="P196" i="46" s="1" a="1"/>
  <c r="P196" i="46" s="1"/>
  <c r="M261" i="46"/>
  <c r="O261" i="46" s="1"/>
  <c r="P261" i="46" s="1" a="1"/>
  <c r="P261" i="46" s="1"/>
  <c r="M167" i="46"/>
  <c r="O167" i="46" s="1"/>
  <c r="P167" i="46" s="1" a="1"/>
  <c r="P167" i="46" s="1"/>
  <c r="M26" i="46"/>
  <c r="O26" i="46" s="1"/>
  <c r="P26" i="46" s="1" a="1"/>
  <c r="P26" i="46" s="1"/>
  <c r="M240" i="46"/>
  <c r="O240" i="46" s="1"/>
  <c r="P240" i="46" s="1" a="1"/>
  <c r="P240" i="46" s="1"/>
  <c r="M274" i="46"/>
  <c r="O274" i="46" s="1"/>
  <c r="P274" i="46" s="1" a="1"/>
  <c r="P274" i="46" s="1"/>
  <c r="M205" i="46"/>
  <c r="O205" i="46" s="1"/>
  <c r="P205" i="46" s="1" a="1"/>
  <c r="P205" i="46" s="1"/>
  <c r="M223" i="46"/>
  <c r="O223" i="46" s="1"/>
  <c r="P223" i="46" s="1" a="1"/>
  <c r="P223" i="46" s="1"/>
  <c r="M9" i="46"/>
  <c r="O9" i="46" s="1"/>
  <c r="P9" i="46" s="1" a="1"/>
  <c r="P9" i="46" s="1"/>
  <c r="M235" i="46"/>
  <c r="O235" i="46" s="1"/>
  <c r="P235" i="46" s="1" a="1"/>
  <c r="P235" i="46" s="1"/>
  <c r="M65" i="46"/>
  <c r="O65" i="46" s="1"/>
  <c r="P65" i="46" s="1" a="1"/>
  <c r="P65" i="46" s="1"/>
  <c r="M151" i="46"/>
  <c r="O151" i="46" s="1"/>
  <c r="P151" i="46" s="1" a="1"/>
  <c r="P151" i="46" s="1"/>
  <c r="M257" i="46"/>
  <c r="O257" i="46" s="1"/>
  <c r="P257" i="46" s="1" a="1"/>
  <c r="P257" i="46" s="1"/>
  <c r="M166" i="46"/>
  <c r="O166" i="46" s="1"/>
  <c r="P166" i="46" s="1" a="1"/>
  <c r="P166" i="46" s="1"/>
  <c r="M161" i="46"/>
  <c r="O161" i="46" s="1"/>
  <c r="P161" i="46" s="1" a="1"/>
  <c r="P161" i="46" s="1"/>
  <c r="M133" i="46"/>
  <c r="O133" i="46" s="1"/>
  <c r="P133" i="46" s="1" a="1"/>
  <c r="P133" i="46" s="1"/>
  <c r="M93" i="46"/>
  <c r="O93" i="46" s="1"/>
  <c r="P93" i="46" s="1" a="1"/>
  <c r="P93" i="46" s="1"/>
  <c r="M169" i="46"/>
  <c r="O169" i="46" s="1"/>
  <c r="P169" i="46" s="1" a="1"/>
  <c r="P169" i="46" s="1"/>
  <c r="M173" i="46"/>
  <c r="O173" i="46" s="1"/>
  <c r="P173" i="46" s="1" a="1"/>
  <c r="P173" i="46" s="1"/>
  <c r="M126" i="46"/>
  <c r="O126" i="46" s="1"/>
  <c r="P126" i="46" s="1" a="1"/>
  <c r="P126" i="46" s="1"/>
  <c r="M56" i="46"/>
  <c r="O56" i="46" s="1"/>
  <c r="P56" i="46" s="1" a="1"/>
  <c r="P56" i="46" s="1"/>
  <c r="M269" i="46"/>
  <c r="O269" i="46" s="1"/>
  <c r="P269" i="46" s="1" a="1"/>
  <c r="P269" i="46" s="1"/>
  <c r="M96" i="46"/>
  <c r="O96" i="46" s="1"/>
  <c r="P96" i="46" s="1" a="1"/>
  <c r="P96" i="46" s="1"/>
  <c r="M112" i="46"/>
  <c r="O112" i="46" s="1"/>
  <c r="P112" i="46" s="1" a="1"/>
  <c r="P112" i="46" s="1"/>
  <c r="M81" i="46"/>
  <c r="O81" i="46" s="1"/>
  <c r="P81" i="46" s="1" a="1"/>
  <c r="P81" i="46" s="1"/>
  <c r="M88" i="46"/>
  <c r="O88" i="46" s="1"/>
  <c r="P88" i="46" s="1" a="1"/>
  <c r="P88" i="46" s="1"/>
  <c r="M270" i="46"/>
  <c r="O270" i="46" s="1"/>
  <c r="P270" i="46" s="1" a="1"/>
  <c r="P270" i="46" s="1"/>
  <c r="M39" i="46"/>
  <c r="O39" i="46" s="1"/>
  <c r="P39" i="46" s="1" a="1"/>
  <c r="P39" i="46" s="1"/>
  <c r="M311" i="46"/>
  <c r="O311" i="46" s="1"/>
  <c r="P311" i="46" s="1" a="1"/>
  <c r="P311" i="46" s="1"/>
  <c r="M129" i="46"/>
  <c r="O129" i="46" s="1"/>
  <c r="P129" i="46" s="1" a="1"/>
  <c r="P129" i="46" s="1"/>
  <c r="M108" i="46"/>
  <c r="O108" i="46" s="1"/>
  <c r="P108" i="46" s="1" a="1"/>
  <c r="P108" i="46" s="1"/>
  <c r="M215" i="46"/>
  <c r="O215" i="46" s="1"/>
  <c r="P215" i="46" s="1" a="1"/>
  <c r="P215" i="46" s="1"/>
  <c r="M31" i="46"/>
  <c r="O31" i="46" s="1"/>
  <c r="P31" i="46" s="1" a="1"/>
  <c r="P31" i="46" s="1"/>
  <c r="M234" i="46"/>
  <c r="O234" i="46" s="1"/>
  <c r="P234" i="46" s="1" a="1"/>
  <c r="P234" i="46" s="1"/>
  <c r="M149" i="46"/>
  <c r="O149" i="46" s="1"/>
  <c r="P149" i="46" s="1" a="1"/>
  <c r="P149" i="46" s="1"/>
  <c r="M106" i="46"/>
  <c r="O106" i="46" s="1"/>
  <c r="P106" i="46" s="1" a="1"/>
  <c r="P106" i="46" s="1"/>
  <c r="M138" i="46"/>
  <c r="O138" i="46" s="1"/>
  <c r="P138" i="46" s="1" a="1"/>
  <c r="P138" i="46" s="1"/>
  <c r="M148" i="46"/>
  <c r="O148" i="46" s="1"/>
  <c r="P148" i="46" s="1" a="1"/>
  <c r="P148" i="46" s="1"/>
  <c r="M206" i="46"/>
  <c r="O206" i="46" s="1"/>
  <c r="P206" i="46" s="1" a="1"/>
  <c r="P206" i="46" s="1"/>
  <c r="M308" i="46"/>
  <c r="O308" i="46" s="1"/>
  <c r="P308" i="46" s="1" a="1"/>
  <c r="P308" i="46" s="1"/>
  <c r="M80" i="46"/>
  <c r="O80" i="46" s="1"/>
  <c r="P80" i="46" s="1" a="1"/>
  <c r="P80" i="46" s="1"/>
  <c r="M156" i="46"/>
  <c r="O156" i="46" s="1"/>
  <c r="P156" i="46" s="1" a="1"/>
  <c r="P156" i="46" s="1"/>
  <c r="M44" i="46"/>
  <c r="O44" i="46" s="1"/>
  <c r="P44" i="46" s="1" a="1"/>
  <c r="P44" i="46" s="1"/>
  <c r="M210" i="46"/>
  <c r="O210" i="46" s="1"/>
  <c r="P210" i="46" s="1" a="1"/>
  <c r="P210" i="46" s="1"/>
  <c r="M32" i="46"/>
  <c r="O32" i="46" s="1"/>
  <c r="P32" i="46" s="1" a="1"/>
  <c r="P32" i="46" s="1"/>
  <c r="M68" i="46"/>
  <c r="O68" i="46" s="1"/>
  <c r="P68" i="46" s="1" a="1"/>
  <c r="P68" i="46" s="1"/>
  <c r="M113" i="46"/>
  <c r="O113" i="46" s="1"/>
  <c r="P113" i="46" s="1" a="1"/>
  <c r="P113" i="46" s="1"/>
  <c r="M134" i="46"/>
  <c r="O134" i="46" s="1"/>
  <c r="P134" i="46" s="1" a="1"/>
  <c r="P134" i="46" s="1"/>
  <c r="M171" i="46"/>
  <c r="O171" i="46" s="1"/>
  <c r="P171" i="46" s="1" a="1"/>
  <c r="P171" i="46" s="1"/>
  <c r="M78" i="46"/>
  <c r="O78" i="46" s="1"/>
  <c r="P78" i="46" s="1" a="1"/>
  <c r="P78" i="46" s="1"/>
  <c r="M178" i="46"/>
  <c r="O178" i="46" s="1"/>
  <c r="P178" i="46" s="1" a="1"/>
  <c r="P178" i="46" s="1"/>
  <c r="M290" i="46"/>
  <c r="O290" i="46" s="1"/>
  <c r="P290" i="46" s="1" a="1"/>
  <c r="P290" i="46" s="1"/>
  <c r="M128" i="46"/>
  <c r="O128" i="46" s="1"/>
  <c r="P128" i="46" s="1" a="1"/>
  <c r="P128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tc={13477D23-BF64-4630-A856-6DEAA8CC9DE2}</author>
  </authors>
  <commentList>
    <comment ref="J37" authorId="0" shapeId="0" xr:uid="{13477D23-BF64-4630-A856-6DEAA8CC9DE2}">
      <text>
        <t>[Threaded comment]
Your version of Excel allows you to read this threaded comment; however, any edits to it will get removed if the file is opened in a newer version of Excel. Learn more: https://go.microsoft.com/fwlink/?linkid=870924
Comment:
    oddala naknadno, med izpitom prazno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<sst xmlns="http://schemas.openxmlformats.org/spreadsheetml/2006/main" count="919" uniqueCount="57">
  <si>
    <t>DN</t>
  </si>
  <si>
    <t>1.izpit</t>
  </si>
  <si>
    <t>1. izpit rok</t>
  </si>
  <si>
    <t>1. izpit VIS</t>
  </si>
  <si>
    <t>2.izpit</t>
  </si>
  <si>
    <t>2. izpit rok</t>
  </si>
  <si>
    <t>2. izpit VIS</t>
  </si>
  <si>
    <t>3.izpit</t>
  </si>
  <si>
    <t>3. izpit VIS</t>
  </si>
  <si>
    <t>APF</t>
  </si>
  <si>
    <t>APM</t>
  </si>
  <si>
    <t>FIN</t>
  </si>
  <si>
    <t>MAT</t>
  </si>
  <si>
    <t>PED</t>
  </si>
  <si>
    <t>Program</t>
  </si>
  <si>
    <t>HTML</t>
  </si>
  <si>
    <t>LaTeX</t>
  </si>
  <si>
    <t>Excel</t>
  </si>
  <si>
    <t>Mathematica</t>
  </si>
  <si>
    <t>svoj</t>
  </si>
  <si>
    <t>P.01</t>
  </si>
  <si>
    <t>šolski</t>
  </si>
  <si>
    <t>P.02</t>
  </si>
  <si>
    <t>3.11</t>
  </si>
  <si>
    <t>odjava</t>
  </si>
  <si>
    <t/>
  </si>
  <si>
    <t>Grand Total</t>
  </si>
  <si>
    <t>5.19</t>
  </si>
  <si>
    <t>mejne točke</t>
  </si>
  <si>
    <t>Vpisna</t>
  </si>
  <si>
    <t>3.10</t>
  </si>
  <si>
    <t>1</t>
  </si>
  <si>
    <t>3</t>
  </si>
  <si>
    <t>4</t>
  </si>
  <si>
    <t>2</t>
  </si>
  <si>
    <t>5</t>
  </si>
  <si>
    <t>6</t>
  </si>
  <si>
    <t>7</t>
  </si>
  <si>
    <t>8</t>
  </si>
  <si>
    <t>9</t>
  </si>
  <si>
    <t>10</t>
  </si>
  <si>
    <t>Računalnik</t>
  </si>
  <si>
    <t>Termin</t>
  </si>
  <si>
    <t>Učilnica</t>
  </si>
  <si>
    <t>Max</t>
  </si>
  <si>
    <t>Bonus</t>
  </si>
  <si>
    <t>Skupaj</t>
  </si>
  <si>
    <t>Ocena</t>
  </si>
  <si>
    <t>Count of Vpisna</t>
  </si>
  <si>
    <t>Natisnjeni izpiti</t>
  </si>
  <si>
    <t>Prijave v VIS</t>
  </si>
  <si>
    <t>Zasedenost mest</t>
  </si>
  <si>
    <t>Row Labels</t>
  </si>
  <si>
    <t>Column Labels</t>
  </si>
  <si>
    <t>Ocene glede na domače naloge</t>
  </si>
  <si>
    <t>Domače naloge po programih</t>
  </si>
  <si>
    <t>Ocene po programih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</si>
</sst>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/mm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 applyAlignment="1">
      <alignment horizontal="left"/>
    </xf>
    <xf numFmtId="0" fontId="0" fillId="0" borderId="0" xfId="0" quotePrefix="1"/>
    <xf numFmtId="164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0" fontId="2" fillId="0" borderId="0" xfId="0" applyFont="1"/>
    <xf numFmtId="0" fontId="0" fillId="0" borderId="0" xfId="0" pivotButton="1" applyAlignment="1"/>
    <xf numFmtId="0" fontId="0" fillId="0" borderId="0" xfId="0" applyAlignment="1"/>
    <xf numFmtId="0" fontId="0" fillId="0" borderId="0" xfId="0" applyNumberFormat="1"/>
  </cellXfs>
  <cellStyles count="2">
    <cellStyle name="Normal" xfId="0" builtinId="0"/>
    <cellStyle name="Normal 2" xfId="1" xr:uid="{B591379D-1253-1046-8002-D4EACD5DCEDE}"/>
  </cellStyles>
  <dxfs count="10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h/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h/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4" formatCode="h/mm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4" formatCode="h/mm"/>
    </dxf>
    <dxf>
      <font>
        <b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h/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h/mm"/>
    </dxf>
    <dxf>
      <numFmt numFmtId="164" formatCode="h/mm"/>
    </dxf>
    <dxf>
      <numFmt numFmtId="164" formatCode="h/mm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F6F6F6"/>
        </patternFill>
      </fill>
    </dxf>
  </dxfs>
  <tableStyles count="1" defaultTableStyle="RP" defaultPivotStyle="PivotStyleMedium9">
    <tableStyle name="RP" pivot="0" count="1" xr9:uid="{91C3E4F5-0C42-2B45-8D2D-14B8613F3BA1}">
      <tableStyleElement type="secondColumnStripe" dxfId="104"/>
    </tableStyle>
  </tableStyles>
  <colors>
    <mruColors>
      <color rgb="FFFF7E79"/>
      <color rgb="FFF6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lj.sharepoint.com/Users/matija/Downloads/izpiti.xlsx" TargetMode="External"/><Relationship Id="rId1" Type="http://schemas.openxmlformats.org/officeDocument/2006/relationships/externalLinkPath" Target="https://unilj.sharepoint.com/Users/matija/Downloads/izpit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lj.sharepoint.com/sites/racunalniski-praktikum/Dokumenti%20v%20skupni%20rabi/RP-2024-2025/MAT-P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novni podatki"/>
      <sheetName val="Transponirano v ustrezno obliko"/>
      <sheetName val="Oblikovano"/>
      <sheetName val="Pravilno izračunani podatki"/>
      <sheetName val="Formule in poimenovani obsegi"/>
      <sheetName val="Tabele"/>
      <sheetName val="Pogojno oblikovanje"/>
      <sheetName val="Vrtilne tabe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-PED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ojec, Matej" id="{7237B4ED-7E69-45F7-9E92-E2D236934969}" userId="S::mr04454@student.uni-lj.si::698f3d55-ff75-46fb-83d3-71adcf202d2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7.381239699076" createdVersion="8" refreshedVersion="8" minRefreshableVersion="3" recordCount="40" xr:uid="{465DE68F-22F5-8E41-BA57-BD8722D01650}">
  <cacheSource type="worksheet">
    <worksheetSource name="Izpit2"/>
  </cacheSource>
  <cacheFields count="10">
    <cacheField name="Program" numFmtId="0">
      <sharedItems containsBlank="1" count="7">
        <s v="FIN"/>
        <s v="APF"/>
        <s v="APM"/>
        <s v="MAT"/>
        <s v="PED"/>
        <e v="#N/A" u="1"/>
        <m u="1"/>
      </sharedItems>
    </cacheField>
    <cacheField name="Vpisna" numFmtId="49">
      <sharedItems containsSemiMixedTypes="0" containsString="0" containsNumber="1" containsInteger="1" minValue="27000027" maxValue="27000320"/>
    </cacheField>
    <cacheField name="Računalnik" numFmtId="0">
      <sharedItems containsBlank="1" count="3">
        <s v="svoj"/>
        <s v="šolski"/>
        <m u="1"/>
      </sharedItems>
    </cacheField>
    <cacheField name="Termin" numFmtId="164">
      <sharedItems containsSemiMixedTypes="0" containsNonDate="0" containsDate="1" containsString="0" minDate="1899-12-30T09:00:00" maxDate="1899-12-30T09:00:00" count="1">
        <d v="1899-12-30T09:00:00"/>
      </sharedItems>
    </cacheField>
    <cacheField name="Učilnica" numFmtId="49">
      <sharedItems count="6">
        <s v="3.11"/>
        <s v="P.02"/>
        <s v="3.10"/>
        <s v="odjava"/>
        <s v="P.01" u="1"/>
        <s v="5.19" u="1"/>
      </sharedItems>
    </cacheField>
    <cacheField name="HTML" numFmtId="0">
      <sharedItems containsSemiMixedTypes="0" containsString="0" containsNumber="1" containsInteger="1" minValue="0" maxValue="20"/>
    </cacheField>
    <cacheField name="LaTeX" numFmtId="0">
      <sharedItems containsSemiMixedTypes="0" containsString="0" containsNumber="1" containsInteger="1" minValue="0" maxValue="36"/>
    </cacheField>
    <cacheField name="Excel" numFmtId="0">
      <sharedItems containsSemiMixedTypes="0" containsString="0" containsNumber="1" containsInteger="1" minValue="0" maxValue="12"/>
    </cacheField>
    <cacheField name="Mathematica" numFmtId="0">
      <sharedItems containsSemiMixedTypes="0" containsString="0" containsNumber="1" containsInteger="1" minValue="0" maxValue="32"/>
    </cacheField>
    <cacheField name="Skupaj" numFmtId="0">
      <sharedItems containsSemiMixedTypes="0" containsString="0" containsNumber="1" containsInteger="1" minValue="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7.461946643518" createdVersion="8" refreshedVersion="8" minRefreshableVersion="3" recordCount="134" xr:uid="{DC1EA616-C527-AA44-B0AE-B5A09FC4A992}">
  <cacheSource type="worksheet">
    <worksheetSource name="Izpit1"/>
  </cacheSource>
  <cacheFields count="10">
    <cacheField name="Vpisna" numFmtId="1">
      <sharedItems containsSemiMixedTypes="0" containsString="0" containsNumber="1" containsInteger="1" minValue="27000007" maxValue="27000319"/>
    </cacheField>
    <cacheField name="Program" numFmtId="0">
      <sharedItems count="7">
        <s v="MAT"/>
        <s v="APF"/>
        <s v="APM"/>
        <s v="FIN"/>
        <s v="PED"/>
        <s v="APM-a" u="1"/>
        <s v="FIN-a" u="1"/>
      </sharedItems>
    </cacheField>
    <cacheField name="Računalnik" numFmtId="0">
      <sharedItems count="3">
        <s v="šolski"/>
        <s v="svoj"/>
        <s v="laptop" u="1"/>
      </sharedItems>
    </cacheField>
    <cacheField name="Termin" numFmtId="164">
      <sharedItems containsDate="1" containsMixedTypes="1" minDate="1899-12-30T09:00:00" maxDate="1899-12-30T12:00:00" count="3">
        <d v="1899-12-30T12:00:00"/>
        <d v="1899-12-30T09:00:00"/>
        <s v="odjava"/>
      </sharedItems>
    </cacheField>
    <cacheField name="Učilnica" numFmtId="49">
      <sharedItems count="4">
        <s v="P.01"/>
        <s v="P.02"/>
        <s v="3.11"/>
        <s v="5.19"/>
      </sharedItems>
    </cacheField>
    <cacheField name="HTML" numFmtId="0">
      <sharedItems containsSemiMixedTypes="0" containsString="0" containsNumber="1" minValue="0" maxValue="20"/>
    </cacheField>
    <cacheField name="LaTeX" numFmtId="0">
      <sharedItems containsSemiMixedTypes="0" containsString="0" containsNumber="1" containsInteger="1" minValue="0" maxValue="37"/>
    </cacheField>
    <cacheField name="Excel" numFmtId="0">
      <sharedItems containsSemiMixedTypes="0" containsString="0" containsNumber="1" containsInteger="1" minValue="0" maxValue="12"/>
    </cacheField>
    <cacheField name="Mathematica" numFmtId="0">
      <sharedItems containsSemiMixedTypes="0" containsString="0" containsNumber="1" minValue="0" maxValue="32"/>
    </cacheField>
    <cacheField name="Skupaj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7.462188078702" createdVersion="8" refreshedVersion="8" minRefreshableVersion="3" recordCount="320" xr:uid="{FEE5289F-F74F-7446-80DE-3E731F3EE646}">
  <cacheSource type="worksheet">
    <worksheetSource name="Rezultati"/>
  </cacheSource>
  <cacheFields count="15">
    <cacheField name="Vpisna" numFmtId="0">
      <sharedItems containsSemiMixedTypes="0" containsString="0" containsNumber="1" containsInteger="1" minValue="27000001" maxValue="27000320"/>
    </cacheField>
    <cacheField name="Program" numFmtId="0">
      <sharedItems count="5">
        <s v="APF"/>
        <s v="FIN"/>
        <s v="MAT"/>
        <s v="APM"/>
        <s v="PED"/>
      </sharedItems>
    </cacheField>
    <cacheField name="DN" numFmtId="0">
      <sharedItems containsSemiMixedTypes="0" containsString="0" containsNumber="1" containsInteger="1" minValue="0" maxValue="10" count="9">
        <n v="0"/>
        <n v="8"/>
        <n v="4"/>
        <n v="5"/>
        <n v="6"/>
        <n v="3"/>
        <n v="9"/>
        <n v="10"/>
        <n v="7"/>
      </sharedItems>
    </cacheField>
    <cacheField name="1.izpit" numFmtId="0">
      <sharedItems containsMixedTypes="1" containsNumber="1" minValue="0" maxValue="100"/>
    </cacheField>
    <cacheField name="1. izpit rok" numFmtId="0">
      <sharedItems/>
    </cacheField>
    <cacheField name="1. izpit VIS" numFmtId="0">
      <sharedItems/>
    </cacheField>
    <cacheField name="2.izpit" numFmtId="0">
      <sharedItems containsMixedTypes="1" containsNumber="1" containsInteger="1" minValue="0" maxValue="99"/>
    </cacheField>
    <cacheField name="2. izpit rok" numFmtId="0">
      <sharedItems/>
    </cacheField>
    <cacheField name="2. izpit VIS" numFmtId="0">
      <sharedItems/>
    </cacheField>
    <cacheField name="3.izpit" numFmtId="0">
      <sharedItems containsMixedTypes="1" containsNumber="1" containsInteger="1" minValue="0" maxValue="78"/>
    </cacheField>
    <cacheField name="3. izpit VIS" numFmtId="0">
      <sharedItems/>
    </cacheField>
    <cacheField name="Max" numFmtId="0">
      <sharedItems containsSemiMixedTypes="0" containsString="0" containsNumber="1" minValue="0" maxValue="100"/>
    </cacheField>
    <cacheField name="Bonus" numFmtId="0">
      <sharedItems containsString="0" containsBlank="1" containsNumber="1" containsInteger="1" minValue="1" maxValue="1"/>
    </cacheField>
    <cacheField name="Skupaj" numFmtId="0">
      <sharedItems containsSemiMixedTypes="0" containsString="0" containsNumber="1" minValue="0" maxValue="110"/>
    </cacheField>
    <cacheField name="Ocena" numFmtId="0">
      <sharedItems containsMixedTypes="1" containsNumber="1" containsInteger="1" minValue="5" maxValue="10" count="7">
        <s v=""/>
        <n v="9"/>
        <n v="5"/>
        <n v="6"/>
        <n v="7"/>
        <n v="8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27000198"/>
    <x v="0"/>
    <x v="0"/>
    <x v="0"/>
    <n v="20"/>
    <n v="35"/>
    <n v="12"/>
    <n v="26"/>
    <n v="93"/>
  </r>
  <r>
    <x v="1"/>
    <n v="27000027"/>
    <x v="1"/>
    <x v="0"/>
    <x v="0"/>
    <n v="17"/>
    <n v="0"/>
    <n v="12"/>
    <n v="26"/>
    <n v="55"/>
  </r>
  <r>
    <x v="0"/>
    <n v="27000199"/>
    <x v="0"/>
    <x v="0"/>
    <x v="1"/>
    <n v="12"/>
    <n v="14"/>
    <n v="10"/>
    <n v="25"/>
    <n v="61"/>
  </r>
  <r>
    <x v="2"/>
    <n v="27000078"/>
    <x v="1"/>
    <x v="0"/>
    <x v="2"/>
    <n v="17"/>
    <n v="17"/>
    <n v="10"/>
    <n v="23"/>
    <n v="67"/>
  </r>
  <r>
    <x v="3"/>
    <n v="27000300"/>
    <x v="1"/>
    <x v="0"/>
    <x v="0"/>
    <n v="20"/>
    <n v="35"/>
    <n v="12"/>
    <n v="32"/>
    <n v="99"/>
  </r>
  <r>
    <x v="3"/>
    <n v="27000301"/>
    <x v="1"/>
    <x v="0"/>
    <x v="0"/>
    <n v="18"/>
    <n v="14"/>
    <n v="0"/>
    <n v="0"/>
    <n v="32"/>
  </r>
  <r>
    <x v="0"/>
    <n v="27000191"/>
    <x v="1"/>
    <x v="0"/>
    <x v="2"/>
    <n v="19"/>
    <n v="14"/>
    <n v="12"/>
    <n v="15"/>
    <n v="60"/>
  </r>
  <r>
    <x v="4"/>
    <n v="27000319"/>
    <x v="1"/>
    <x v="0"/>
    <x v="0"/>
    <n v="16"/>
    <n v="7"/>
    <n v="4"/>
    <n v="20"/>
    <n v="47"/>
  </r>
  <r>
    <x v="0"/>
    <n v="27000200"/>
    <x v="0"/>
    <x v="0"/>
    <x v="1"/>
    <n v="10"/>
    <n v="22"/>
    <n v="10"/>
    <n v="0"/>
    <n v="42"/>
  </r>
  <r>
    <x v="2"/>
    <n v="27000084"/>
    <x v="0"/>
    <x v="0"/>
    <x v="1"/>
    <n v="15"/>
    <n v="26"/>
    <n v="6"/>
    <n v="0"/>
    <n v="47"/>
  </r>
  <r>
    <x v="0"/>
    <n v="27000201"/>
    <x v="0"/>
    <x v="0"/>
    <x v="1"/>
    <n v="14"/>
    <n v="20"/>
    <n v="0"/>
    <n v="30"/>
    <n v="64"/>
  </r>
  <r>
    <x v="0"/>
    <n v="27000192"/>
    <x v="1"/>
    <x v="0"/>
    <x v="2"/>
    <n v="19"/>
    <n v="22"/>
    <n v="5"/>
    <n v="24"/>
    <n v="70"/>
  </r>
  <r>
    <x v="0"/>
    <n v="27000193"/>
    <x v="1"/>
    <x v="0"/>
    <x v="2"/>
    <n v="17"/>
    <n v="16"/>
    <n v="12"/>
    <n v="10"/>
    <n v="55"/>
  </r>
  <r>
    <x v="0"/>
    <n v="27000194"/>
    <x v="1"/>
    <x v="0"/>
    <x v="2"/>
    <n v="15"/>
    <n v="24"/>
    <n v="10"/>
    <n v="21"/>
    <n v="70"/>
  </r>
  <r>
    <x v="0"/>
    <n v="27000202"/>
    <x v="0"/>
    <x v="0"/>
    <x v="1"/>
    <n v="18"/>
    <n v="31"/>
    <n v="0"/>
    <n v="28"/>
    <n v="77"/>
  </r>
  <r>
    <x v="0"/>
    <n v="27000203"/>
    <x v="0"/>
    <x v="0"/>
    <x v="1"/>
    <n v="14"/>
    <n v="26"/>
    <n v="12"/>
    <n v="20"/>
    <n v="72"/>
  </r>
  <r>
    <x v="0"/>
    <n v="27000208"/>
    <x v="0"/>
    <x v="0"/>
    <x v="3"/>
    <n v="0"/>
    <n v="0"/>
    <n v="0"/>
    <n v="0"/>
    <n v="0"/>
  </r>
  <r>
    <x v="4"/>
    <n v="27000320"/>
    <x v="0"/>
    <x v="0"/>
    <x v="1"/>
    <n v="0"/>
    <n v="0"/>
    <n v="0"/>
    <n v="0"/>
    <n v="0"/>
  </r>
  <r>
    <x v="1"/>
    <n v="27000028"/>
    <x v="1"/>
    <x v="0"/>
    <x v="2"/>
    <n v="17"/>
    <n v="35"/>
    <n v="11"/>
    <n v="4"/>
    <n v="67"/>
  </r>
  <r>
    <x v="0"/>
    <n v="27000204"/>
    <x v="0"/>
    <x v="0"/>
    <x v="0"/>
    <n v="15"/>
    <n v="23"/>
    <n v="0"/>
    <n v="23"/>
    <n v="61"/>
  </r>
  <r>
    <x v="0"/>
    <n v="27000205"/>
    <x v="0"/>
    <x v="0"/>
    <x v="1"/>
    <n v="17"/>
    <n v="15"/>
    <n v="8"/>
    <n v="22"/>
    <n v="62"/>
  </r>
  <r>
    <x v="3"/>
    <n v="27000304"/>
    <x v="0"/>
    <x v="0"/>
    <x v="1"/>
    <n v="19"/>
    <n v="14"/>
    <n v="10"/>
    <n v="32"/>
    <n v="75"/>
  </r>
  <r>
    <x v="0"/>
    <n v="27000195"/>
    <x v="1"/>
    <x v="0"/>
    <x v="2"/>
    <n v="19"/>
    <n v="29"/>
    <n v="12"/>
    <n v="21"/>
    <n v="81"/>
  </r>
  <r>
    <x v="2"/>
    <n v="27000085"/>
    <x v="0"/>
    <x v="0"/>
    <x v="1"/>
    <n v="19"/>
    <n v="23"/>
    <n v="0"/>
    <n v="25"/>
    <n v="67"/>
  </r>
  <r>
    <x v="2"/>
    <n v="27000079"/>
    <x v="1"/>
    <x v="0"/>
    <x v="2"/>
    <n v="14"/>
    <n v="30"/>
    <n v="9"/>
    <n v="21"/>
    <n v="74"/>
  </r>
  <r>
    <x v="2"/>
    <n v="27000086"/>
    <x v="0"/>
    <x v="0"/>
    <x v="1"/>
    <n v="18"/>
    <n v="9"/>
    <n v="9"/>
    <n v="28"/>
    <n v="64"/>
  </r>
  <r>
    <x v="0"/>
    <n v="27000206"/>
    <x v="0"/>
    <x v="0"/>
    <x v="1"/>
    <n v="0"/>
    <n v="29"/>
    <n v="12"/>
    <n v="29"/>
    <n v="70"/>
  </r>
  <r>
    <x v="3"/>
    <n v="27000302"/>
    <x v="1"/>
    <x v="0"/>
    <x v="0"/>
    <n v="17"/>
    <n v="16"/>
    <n v="8"/>
    <n v="22"/>
    <n v="63"/>
  </r>
  <r>
    <x v="1"/>
    <n v="27000030"/>
    <x v="0"/>
    <x v="0"/>
    <x v="0"/>
    <n v="16"/>
    <n v="11"/>
    <n v="12"/>
    <n v="27"/>
    <n v="66"/>
  </r>
  <r>
    <x v="2"/>
    <n v="27000080"/>
    <x v="1"/>
    <x v="0"/>
    <x v="2"/>
    <n v="17"/>
    <n v="0"/>
    <n v="7"/>
    <n v="23"/>
    <n v="47"/>
  </r>
  <r>
    <x v="1"/>
    <n v="27000295"/>
    <x v="1"/>
    <x v="0"/>
    <x v="2"/>
    <n v="0"/>
    <n v="2"/>
    <n v="8"/>
    <n v="23"/>
    <n v="33"/>
  </r>
  <r>
    <x v="2"/>
    <n v="27000081"/>
    <x v="1"/>
    <x v="0"/>
    <x v="2"/>
    <n v="13"/>
    <n v="36"/>
    <n v="0"/>
    <n v="23"/>
    <n v="72"/>
  </r>
  <r>
    <x v="0"/>
    <n v="27000207"/>
    <x v="0"/>
    <x v="0"/>
    <x v="1"/>
    <n v="18"/>
    <n v="4"/>
    <n v="12"/>
    <n v="26"/>
    <n v="60"/>
  </r>
  <r>
    <x v="0"/>
    <n v="27000196"/>
    <x v="1"/>
    <x v="0"/>
    <x v="3"/>
    <n v="0"/>
    <n v="0"/>
    <n v="0"/>
    <n v="0"/>
    <n v="0"/>
  </r>
  <r>
    <x v="3"/>
    <n v="27000305"/>
    <x v="0"/>
    <x v="0"/>
    <x v="1"/>
    <n v="10"/>
    <n v="2"/>
    <n v="4"/>
    <n v="0"/>
    <n v="16"/>
  </r>
  <r>
    <x v="2"/>
    <n v="27000087"/>
    <x v="0"/>
    <x v="0"/>
    <x v="1"/>
    <n v="19"/>
    <n v="9"/>
    <n v="11"/>
    <n v="26"/>
    <n v="65"/>
  </r>
  <r>
    <x v="3"/>
    <n v="27000303"/>
    <x v="1"/>
    <x v="0"/>
    <x v="0"/>
    <n v="12"/>
    <n v="24"/>
    <n v="9"/>
    <n v="17"/>
    <n v="62"/>
  </r>
  <r>
    <x v="2"/>
    <n v="27000082"/>
    <x v="1"/>
    <x v="0"/>
    <x v="0"/>
    <n v="2"/>
    <n v="16"/>
    <n v="0"/>
    <n v="27"/>
    <n v="45"/>
  </r>
  <r>
    <x v="2"/>
    <n v="27000083"/>
    <x v="1"/>
    <x v="0"/>
    <x v="2"/>
    <n v="17"/>
    <n v="15"/>
    <n v="9"/>
    <n v="0"/>
    <n v="41"/>
  </r>
  <r>
    <x v="0"/>
    <n v="27000197"/>
    <x v="1"/>
    <x v="0"/>
    <x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7000007"/>
    <x v="0"/>
    <x v="0"/>
    <x v="0"/>
    <x v="0"/>
    <n v="0"/>
    <n v="0"/>
    <n v="0"/>
    <n v="25"/>
    <n v="25"/>
  </r>
  <r>
    <n v="27000015"/>
    <x v="1"/>
    <x v="0"/>
    <x v="1"/>
    <x v="0"/>
    <n v="0"/>
    <n v="0"/>
    <n v="0"/>
    <n v="0"/>
    <n v="0"/>
  </r>
  <r>
    <n v="27000020"/>
    <x v="1"/>
    <x v="0"/>
    <x v="1"/>
    <x v="0"/>
    <n v="0"/>
    <n v="0"/>
    <n v="0"/>
    <n v="0"/>
    <n v="0"/>
  </r>
  <r>
    <n v="27000027"/>
    <x v="1"/>
    <x v="0"/>
    <x v="1"/>
    <x v="0"/>
    <n v="18"/>
    <n v="16"/>
    <n v="12"/>
    <n v="0"/>
    <n v="46"/>
  </r>
  <r>
    <n v="27000029"/>
    <x v="0"/>
    <x v="1"/>
    <x v="0"/>
    <x v="1"/>
    <n v="0"/>
    <n v="7"/>
    <n v="0"/>
    <n v="16"/>
    <n v="23"/>
  </r>
  <r>
    <n v="27000031"/>
    <x v="2"/>
    <x v="0"/>
    <x v="1"/>
    <x v="0"/>
    <n v="18.5"/>
    <n v="25"/>
    <n v="12"/>
    <n v="31"/>
    <n v="86.5"/>
  </r>
  <r>
    <n v="27000033"/>
    <x v="2"/>
    <x v="1"/>
    <x v="1"/>
    <x v="0"/>
    <n v="20"/>
    <n v="17"/>
    <n v="0"/>
    <n v="27"/>
    <n v="64"/>
  </r>
  <r>
    <n v="27000044"/>
    <x v="2"/>
    <x v="0"/>
    <x v="1"/>
    <x v="0"/>
    <n v="20"/>
    <n v="33"/>
    <n v="12"/>
    <n v="30"/>
    <n v="95"/>
  </r>
  <r>
    <n v="27000051"/>
    <x v="2"/>
    <x v="0"/>
    <x v="1"/>
    <x v="0"/>
    <n v="19.5"/>
    <n v="0"/>
    <n v="12"/>
    <n v="22"/>
    <n v="53.5"/>
  </r>
  <r>
    <n v="27000063"/>
    <x v="2"/>
    <x v="1"/>
    <x v="1"/>
    <x v="1"/>
    <n v="20"/>
    <n v="36"/>
    <n v="12"/>
    <n v="31"/>
    <n v="99"/>
  </r>
  <r>
    <n v="27000076"/>
    <x v="2"/>
    <x v="0"/>
    <x v="1"/>
    <x v="0"/>
    <n v="19.5"/>
    <n v="33"/>
    <n v="12"/>
    <n v="28"/>
    <n v="92.5"/>
  </r>
  <r>
    <n v="27000078"/>
    <x v="2"/>
    <x v="0"/>
    <x v="2"/>
    <x v="0"/>
    <n v="0"/>
    <n v="0"/>
    <n v="0"/>
    <n v="0"/>
    <n v="0"/>
  </r>
  <r>
    <n v="27000082"/>
    <x v="2"/>
    <x v="0"/>
    <x v="1"/>
    <x v="2"/>
    <n v="0"/>
    <n v="0"/>
    <n v="0"/>
    <n v="25"/>
    <n v="25"/>
  </r>
  <r>
    <n v="27000088"/>
    <x v="3"/>
    <x v="1"/>
    <x v="1"/>
    <x v="0"/>
    <n v="13.5"/>
    <n v="27"/>
    <n v="12"/>
    <n v="25"/>
    <n v="77.5"/>
  </r>
  <r>
    <n v="27000092"/>
    <x v="3"/>
    <x v="1"/>
    <x v="1"/>
    <x v="1"/>
    <n v="17.5"/>
    <n v="19"/>
    <n v="12"/>
    <n v="28"/>
    <n v="76.5"/>
  </r>
  <r>
    <n v="27000093"/>
    <x v="3"/>
    <x v="1"/>
    <x v="1"/>
    <x v="0"/>
    <n v="16"/>
    <n v="10"/>
    <n v="0"/>
    <n v="26.5"/>
    <n v="52.5"/>
  </r>
  <r>
    <n v="27000096"/>
    <x v="3"/>
    <x v="0"/>
    <x v="1"/>
    <x v="2"/>
    <n v="18.5"/>
    <n v="34"/>
    <n v="12"/>
    <n v="27"/>
    <n v="91.5"/>
  </r>
  <r>
    <n v="27000100"/>
    <x v="3"/>
    <x v="1"/>
    <x v="1"/>
    <x v="1"/>
    <n v="15"/>
    <n v="31"/>
    <n v="9"/>
    <n v="27"/>
    <n v="82"/>
  </r>
  <r>
    <n v="27000101"/>
    <x v="3"/>
    <x v="0"/>
    <x v="1"/>
    <x v="0"/>
    <n v="14.5"/>
    <n v="22"/>
    <n v="12"/>
    <n v="27.5"/>
    <n v="76"/>
  </r>
  <r>
    <n v="27000103"/>
    <x v="3"/>
    <x v="1"/>
    <x v="1"/>
    <x v="1"/>
    <n v="14"/>
    <n v="13"/>
    <n v="9"/>
    <n v="15"/>
    <n v="51"/>
  </r>
  <r>
    <n v="27000104"/>
    <x v="3"/>
    <x v="1"/>
    <x v="1"/>
    <x v="1"/>
    <n v="17"/>
    <n v="29"/>
    <n v="12"/>
    <n v="24"/>
    <n v="82"/>
  </r>
  <r>
    <n v="27000105"/>
    <x v="3"/>
    <x v="0"/>
    <x v="1"/>
    <x v="0"/>
    <n v="9"/>
    <n v="18"/>
    <n v="8"/>
    <n v="21"/>
    <n v="56"/>
  </r>
  <r>
    <n v="27000111"/>
    <x v="3"/>
    <x v="1"/>
    <x v="1"/>
    <x v="1"/>
    <n v="18"/>
    <n v="36"/>
    <n v="12"/>
    <n v="29"/>
    <n v="95"/>
  </r>
  <r>
    <n v="27000113"/>
    <x v="3"/>
    <x v="1"/>
    <x v="1"/>
    <x v="1"/>
    <n v="18"/>
    <n v="12"/>
    <n v="7"/>
    <n v="23"/>
    <n v="60"/>
  </r>
  <r>
    <n v="27000115"/>
    <x v="3"/>
    <x v="1"/>
    <x v="1"/>
    <x v="1"/>
    <n v="19"/>
    <n v="24"/>
    <n v="12"/>
    <n v="29"/>
    <n v="84"/>
  </r>
  <r>
    <n v="27000118"/>
    <x v="3"/>
    <x v="1"/>
    <x v="1"/>
    <x v="1"/>
    <n v="19"/>
    <n v="33"/>
    <n v="8"/>
    <n v="23"/>
    <n v="83"/>
  </r>
  <r>
    <n v="27000120"/>
    <x v="3"/>
    <x v="1"/>
    <x v="1"/>
    <x v="1"/>
    <n v="19.5"/>
    <n v="34"/>
    <n v="12"/>
    <n v="29"/>
    <n v="94.5"/>
  </r>
  <r>
    <n v="27000124"/>
    <x v="3"/>
    <x v="1"/>
    <x v="1"/>
    <x v="0"/>
    <n v="17.5"/>
    <n v="34"/>
    <n v="12"/>
    <n v="28"/>
    <n v="91.5"/>
  </r>
  <r>
    <n v="27000125"/>
    <x v="3"/>
    <x v="0"/>
    <x v="1"/>
    <x v="0"/>
    <n v="18"/>
    <n v="24"/>
    <n v="12"/>
    <n v="17.5"/>
    <n v="71.5"/>
  </r>
  <r>
    <n v="27000126"/>
    <x v="3"/>
    <x v="1"/>
    <x v="1"/>
    <x v="1"/>
    <n v="19.5"/>
    <n v="33"/>
    <n v="12"/>
    <n v="26"/>
    <n v="90.5"/>
  </r>
  <r>
    <n v="27000127"/>
    <x v="3"/>
    <x v="0"/>
    <x v="1"/>
    <x v="0"/>
    <n v="19"/>
    <n v="34"/>
    <n v="12"/>
    <n v="26.5"/>
    <n v="91.5"/>
  </r>
  <r>
    <n v="27000128"/>
    <x v="3"/>
    <x v="0"/>
    <x v="1"/>
    <x v="2"/>
    <n v="16.5"/>
    <n v="33"/>
    <n v="12"/>
    <n v="28.5"/>
    <n v="90"/>
  </r>
  <r>
    <n v="27000132"/>
    <x v="3"/>
    <x v="1"/>
    <x v="1"/>
    <x v="1"/>
    <n v="18.5"/>
    <n v="36"/>
    <n v="12"/>
    <n v="32"/>
    <n v="98.5"/>
  </r>
  <r>
    <n v="27000134"/>
    <x v="3"/>
    <x v="0"/>
    <x v="1"/>
    <x v="0"/>
    <n v="14.5"/>
    <n v="25"/>
    <n v="12"/>
    <n v="28.5"/>
    <n v="80"/>
  </r>
  <r>
    <n v="27000136"/>
    <x v="3"/>
    <x v="1"/>
    <x v="1"/>
    <x v="1"/>
    <n v="15"/>
    <n v="27"/>
    <n v="0"/>
    <n v="30"/>
    <n v="72"/>
  </r>
  <r>
    <n v="27000141"/>
    <x v="3"/>
    <x v="1"/>
    <x v="1"/>
    <x v="1"/>
    <n v="16.5"/>
    <n v="31"/>
    <n v="12"/>
    <n v="27"/>
    <n v="86.5"/>
  </r>
  <r>
    <n v="27000144"/>
    <x v="3"/>
    <x v="1"/>
    <x v="1"/>
    <x v="1"/>
    <n v="17.5"/>
    <n v="30"/>
    <n v="9"/>
    <n v="20"/>
    <n v="76.5"/>
  </r>
  <r>
    <n v="27000146"/>
    <x v="3"/>
    <x v="0"/>
    <x v="1"/>
    <x v="0"/>
    <n v="18.5"/>
    <n v="11"/>
    <n v="12"/>
    <n v="29"/>
    <n v="70.5"/>
  </r>
  <r>
    <n v="27000148"/>
    <x v="3"/>
    <x v="0"/>
    <x v="1"/>
    <x v="2"/>
    <n v="19"/>
    <n v="36"/>
    <n v="12"/>
    <n v="28.5"/>
    <n v="95.5"/>
  </r>
  <r>
    <n v="27000149"/>
    <x v="3"/>
    <x v="1"/>
    <x v="1"/>
    <x v="0"/>
    <n v="10"/>
    <n v="31"/>
    <n v="12"/>
    <n v="27"/>
    <n v="80"/>
  </r>
  <r>
    <n v="27000152"/>
    <x v="3"/>
    <x v="0"/>
    <x v="1"/>
    <x v="0"/>
    <n v="19"/>
    <n v="30"/>
    <n v="12"/>
    <n v="24.5"/>
    <n v="85.5"/>
  </r>
  <r>
    <n v="27000154"/>
    <x v="3"/>
    <x v="1"/>
    <x v="1"/>
    <x v="1"/>
    <n v="17"/>
    <n v="36"/>
    <n v="12"/>
    <n v="30"/>
    <n v="95"/>
  </r>
  <r>
    <n v="27000155"/>
    <x v="3"/>
    <x v="0"/>
    <x v="1"/>
    <x v="0"/>
    <n v="16"/>
    <n v="6"/>
    <n v="10"/>
    <n v="22"/>
    <n v="54"/>
  </r>
  <r>
    <n v="27000156"/>
    <x v="3"/>
    <x v="1"/>
    <x v="1"/>
    <x v="1"/>
    <n v="18.5"/>
    <n v="35"/>
    <n v="12"/>
    <n v="26"/>
    <n v="91.5"/>
  </r>
  <r>
    <n v="27000159"/>
    <x v="3"/>
    <x v="1"/>
    <x v="2"/>
    <x v="1"/>
    <n v="0"/>
    <n v="0"/>
    <n v="0"/>
    <n v="0"/>
    <n v="0"/>
  </r>
  <r>
    <n v="27000160"/>
    <x v="3"/>
    <x v="0"/>
    <x v="1"/>
    <x v="2"/>
    <n v="18.5"/>
    <n v="30"/>
    <n v="12"/>
    <n v="23"/>
    <n v="83.5"/>
  </r>
  <r>
    <n v="27000162"/>
    <x v="3"/>
    <x v="1"/>
    <x v="1"/>
    <x v="1"/>
    <n v="19.5"/>
    <n v="19"/>
    <n v="7"/>
    <n v="20"/>
    <n v="65.5"/>
  </r>
  <r>
    <n v="27000163"/>
    <x v="3"/>
    <x v="1"/>
    <x v="1"/>
    <x v="1"/>
    <n v="15.5"/>
    <n v="0"/>
    <n v="12"/>
    <n v="24"/>
    <n v="51.5"/>
  </r>
  <r>
    <n v="27000164"/>
    <x v="3"/>
    <x v="0"/>
    <x v="1"/>
    <x v="0"/>
    <n v="17"/>
    <n v="34"/>
    <n v="12"/>
    <n v="29"/>
    <n v="92"/>
  </r>
  <r>
    <n v="27000165"/>
    <x v="3"/>
    <x v="0"/>
    <x v="1"/>
    <x v="2"/>
    <n v="18"/>
    <n v="17"/>
    <n v="12"/>
    <n v="23"/>
    <n v="70"/>
  </r>
  <r>
    <n v="27000166"/>
    <x v="3"/>
    <x v="0"/>
    <x v="1"/>
    <x v="2"/>
    <n v="18.5"/>
    <n v="34"/>
    <n v="12"/>
    <n v="30.5"/>
    <n v="95"/>
  </r>
  <r>
    <n v="27000167"/>
    <x v="3"/>
    <x v="1"/>
    <x v="1"/>
    <x v="1"/>
    <n v="11"/>
    <n v="25"/>
    <n v="10"/>
    <n v="26"/>
    <n v="72"/>
  </r>
  <r>
    <n v="27000171"/>
    <x v="3"/>
    <x v="0"/>
    <x v="1"/>
    <x v="2"/>
    <n v="16"/>
    <n v="8"/>
    <n v="8"/>
    <n v="21"/>
    <n v="53"/>
  </r>
  <r>
    <n v="27000173"/>
    <x v="3"/>
    <x v="1"/>
    <x v="1"/>
    <x v="1"/>
    <n v="18"/>
    <n v="32"/>
    <n v="12"/>
    <n v="29"/>
    <n v="91"/>
  </r>
  <r>
    <n v="27000176"/>
    <x v="3"/>
    <x v="0"/>
    <x v="1"/>
    <x v="2"/>
    <n v="19"/>
    <n v="27"/>
    <n v="12"/>
    <n v="12"/>
    <n v="70"/>
  </r>
  <r>
    <n v="27000177"/>
    <x v="3"/>
    <x v="0"/>
    <x v="1"/>
    <x v="2"/>
    <n v="20"/>
    <n v="31"/>
    <n v="12"/>
    <n v="30"/>
    <n v="93"/>
  </r>
  <r>
    <n v="27000179"/>
    <x v="3"/>
    <x v="0"/>
    <x v="1"/>
    <x v="0"/>
    <n v="19"/>
    <n v="34"/>
    <n v="12"/>
    <n v="15"/>
    <n v="80"/>
  </r>
  <r>
    <n v="27000181"/>
    <x v="3"/>
    <x v="1"/>
    <x v="1"/>
    <x v="1"/>
    <n v="5.5"/>
    <n v="33"/>
    <n v="12"/>
    <n v="15"/>
    <n v="65.5"/>
  </r>
  <r>
    <n v="27000182"/>
    <x v="3"/>
    <x v="0"/>
    <x v="1"/>
    <x v="2"/>
    <n v="18"/>
    <n v="23"/>
    <n v="0"/>
    <n v="19"/>
    <n v="60"/>
  </r>
  <r>
    <n v="27000187"/>
    <x v="3"/>
    <x v="1"/>
    <x v="1"/>
    <x v="0"/>
    <n v="18"/>
    <n v="36"/>
    <n v="12"/>
    <n v="28"/>
    <n v="94"/>
  </r>
  <r>
    <n v="27000189"/>
    <x v="3"/>
    <x v="1"/>
    <x v="1"/>
    <x v="1"/>
    <n v="16"/>
    <n v="29"/>
    <n v="12"/>
    <n v="17"/>
    <n v="74"/>
  </r>
  <r>
    <n v="27000190"/>
    <x v="3"/>
    <x v="1"/>
    <x v="1"/>
    <x v="1"/>
    <n v="17"/>
    <n v="35"/>
    <n v="12"/>
    <n v="26"/>
    <n v="90"/>
  </r>
  <r>
    <n v="27000191"/>
    <x v="3"/>
    <x v="0"/>
    <x v="2"/>
    <x v="2"/>
    <n v="0"/>
    <n v="0"/>
    <n v="0"/>
    <n v="0"/>
    <n v="0"/>
  </r>
  <r>
    <n v="27000192"/>
    <x v="3"/>
    <x v="0"/>
    <x v="2"/>
    <x v="2"/>
    <n v="0"/>
    <n v="0"/>
    <n v="0"/>
    <n v="0"/>
    <n v="0"/>
  </r>
  <r>
    <n v="27000193"/>
    <x v="3"/>
    <x v="1"/>
    <x v="1"/>
    <x v="1"/>
    <n v="0"/>
    <n v="0"/>
    <n v="0"/>
    <n v="0"/>
    <n v="0"/>
  </r>
  <r>
    <n v="27000194"/>
    <x v="3"/>
    <x v="0"/>
    <x v="1"/>
    <x v="2"/>
    <n v="0"/>
    <n v="13"/>
    <n v="0"/>
    <n v="23"/>
    <n v="36"/>
  </r>
  <r>
    <n v="27000196"/>
    <x v="3"/>
    <x v="0"/>
    <x v="1"/>
    <x v="2"/>
    <n v="15.5"/>
    <n v="19"/>
    <n v="12"/>
    <n v="26"/>
    <n v="72.5"/>
  </r>
  <r>
    <n v="27000201"/>
    <x v="3"/>
    <x v="1"/>
    <x v="1"/>
    <x v="1"/>
    <n v="0"/>
    <n v="0"/>
    <n v="0"/>
    <n v="24"/>
    <n v="24"/>
  </r>
  <r>
    <n v="27000203"/>
    <x v="3"/>
    <x v="1"/>
    <x v="1"/>
    <x v="1"/>
    <n v="0"/>
    <n v="33"/>
    <n v="0"/>
    <n v="29"/>
    <n v="62"/>
  </r>
  <r>
    <n v="27000205"/>
    <x v="3"/>
    <x v="1"/>
    <x v="1"/>
    <x v="0"/>
    <n v="0"/>
    <n v="0"/>
    <n v="0"/>
    <n v="0"/>
    <n v="0"/>
  </r>
  <r>
    <n v="27000208"/>
    <x v="3"/>
    <x v="1"/>
    <x v="1"/>
    <x v="1"/>
    <n v="17"/>
    <n v="21"/>
    <n v="12"/>
    <n v="25.5"/>
    <n v="75.5"/>
  </r>
  <r>
    <n v="27000210"/>
    <x v="0"/>
    <x v="0"/>
    <x v="0"/>
    <x v="0"/>
    <n v="0"/>
    <n v="0"/>
    <n v="0"/>
    <n v="0"/>
    <n v="0"/>
  </r>
  <r>
    <n v="27000211"/>
    <x v="0"/>
    <x v="1"/>
    <x v="0"/>
    <x v="1"/>
    <n v="15.5"/>
    <n v="36"/>
    <n v="12"/>
    <n v="32"/>
    <n v="95.5"/>
  </r>
  <r>
    <n v="27000212"/>
    <x v="0"/>
    <x v="0"/>
    <x v="0"/>
    <x v="2"/>
    <n v="19"/>
    <n v="23"/>
    <n v="0"/>
    <n v="23.5"/>
    <n v="65.5"/>
  </r>
  <r>
    <n v="27000213"/>
    <x v="0"/>
    <x v="0"/>
    <x v="0"/>
    <x v="2"/>
    <n v="20"/>
    <n v="35"/>
    <n v="12"/>
    <n v="29"/>
    <n v="96"/>
  </r>
  <r>
    <n v="27000216"/>
    <x v="0"/>
    <x v="1"/>
    <x v="0"/>
    <x v="0"/>
    <n v="14.5"/>
    <n v="34"/>
    <n v="12"/>
    <n v="29.5"/>
    <n v="90"/>
  </r>
  <r>
    <n v="27000217"/>
    <x v="0"/>
    <x v="1"/>
    <x v="0"/>
    <x v="1"/>
    <n v="20"/>
    <n v="36"/>
    <n v="12"/>
    <n v="30"/>
    <n v="98"/>
  </r>
  <r>
    <n v="27000221"/>
    <x v="0"/>
    <x v="0"/>
    <x v="0"/>
    <x v="2"/>
    <n v="19"/>
    <n v="20"/>
    <n v="0"/>
    <n v="21"/>
    <n v="60"/>
  </r>
  <r>
    <n v="27000223"/>
    <x v="0"/>
    <x v="1"/>
    <x v="0"/>
    <x v="1"/>
    <n v="18.5"/>
    <n v="35"/>
    <n v="12"/>
    <n v="32"/>
    <n v="97.5"/>
  </r>
  <r>
    <n v="27000225"/>
    <x v="0"/>
    <x v="1"/>
    <x v="0"/>
    <x v="1"/>
    <n v="18"/>
    <n v="36"/>
    <n v="12"/>
    <n v="31"/>
    <n v="97"/>
  </r>
  <r>
    <n v="27000226"/>
    <x v="0"/>
    <x v="0"/>
    <x v="0"/>
    <x v="0"/>
    <n v="19.5"/>
    <n v="32"/>
    <n v="9"/>
    <n v="19.5"/>
    <n v="80"/>
  </r>
  <r>
    <n v="27000227"/>
    <x v="0"/>
    <x v="0"/>
    <x v="0"/>
    <x v="0"/>
    <n v="20"/>
    <n v="24"/>
    <n v="0"/>
    <n v="18"/>
    <n v="62"/>
  </r>
  <r>
    <n v="27000230"/>
    <x v="0"/>
    <x v="0"/>
    <x v="0"/>
    <x v="2"/>
    <n v="18"/>
    <n v="30"/>
    <n v="12"/>
    <n v="32"/>
    <n v="92"/>
  </r>
  <r>
    <n v="27000231"/>
    <x v="0"/>
    <x v="1"/>
    <x v="0"/>
    <x v="1"/>
    <n v="18.5"/>
    <n v="36"/>
    <n v="12"/>
    <n v="32"/>
    <n v="98.5"/>
  </r>
  <r>
    <n v="27000232"/>
    <x v="0"/>
    <x v="1"/>
    <x v="0"/>
    <x v="1"/>
    <n v="0"/>
    <n v="0"/>
    <n v="0"/>
    <n v="0"/>
    <n v="0"/>
  </r>
  <r>
    <n v="27000234"/>
    <x v="0"/>
    <x v="0"/>
    <x v="0"/>
    <x v="0"/>
    <n v="19"/>
    <n v="36"/>
    <n v="12"/>
    <n v="32"/>
    <n v="99"/>
  </r>
  <r>
    <n v="27000236"/>
    <x v="0"/>
    <x v="1"/>
    <x v="0"/>
    <x v="1"/>
    <n v="19.5"/>
    <n v="30"/>
    <n v="12"/>
    <n v="25"/>
    <n v="86.5"/>
  </r>
  <r>
    <n v="27000237"/>
    <x v="0"/>
    <x v="0"/>
    <x v="0"/>
    <x v="0"/>
    <n v="18.5"/>
    <n v="23"/>
    <n v="7"/>
    <n v="31.5"/>
    <n v="80"/>
  </r>
  <r>
    <n v="27000238"/>
    <x v="0"/>
    <x v="1"/>
    <x v="0"/>
    <x v="1"/>
    <n v="16.5"/>
    <n v="9"/>
    <n v="0"/>
    <n v="13"/>
    <n v="38.5"/>
  </r>
  <r>
    <n v="27000239"/>
    <x v="0"/>
    <x v="0"/>
    <x v="0"/>
    <x v="2"/>
    <n v="17.5"/>
    <n v="36"/>
    <n v="12"/>
    <n v="30"/>
    <n v="95.5"/>
  </r>
  <r>
    <n v="27000240"/>
    <x v="0"/>
    <x v="1"/>
    <x v="0"/>
    <x v="0"/>
    <n v="20"/>
    <n v="36"/>
    <n v="12"/>
    <n v="30"/>
    <n v="98"/>
  </r>
  <r>
    <n v="27000245"/>
    <x v="0"/>
    <x v="1"/>
    <x v="0"/>
    <x v="1"/>
    <n v="20"/>
    <n v="35"/>
    <n v="12"/>
    <n v="26.5"/>
    <n v="93.5"/>
  </r>
  <r>
    <n v="27000246"/>
    <x v="0"/>
    <x v="1"/>
    <x v="0"/>
    <x v="3"/>
    <n v="18"/>
    <n v="33"/>
    <n v="12"/>
    <n v="32"/>
    <n v="95"/>
  </r>
  <r>
    <n v="27000247"/>
    <x v="0"/>
    <x v="1"/>
    <x v="0"/>
    <x v="1"/>
    <n v="20"/>
    <n v="35"/>
    <n v="12"/>
    <n v="32"/>
    <n v="99"/>
  </r>
  <r>
    <n v="27000248"/>
    <x v="0"/>
    <x v="1"/>
    <x v="0"/>
    <x v="1"/>
    <n v="13.5"/>
    <n v="18"/>
    <n v="0"/>
    <n v="28.5"/>
    <n v="60"/>
  </r>
  <r>
    <n v="27000249"/>
    <x v="0"/>
    <x v="1"/>
    <x v="0"/>
    <x v="0"/>
    <n v="8.5"/>
    <n v="3"/>
    <n v="0"/>
    <n v="0"/>
    <n v="11.5"/>
  </r>
  <r>
    <n v="27000250"/>
    <x v="0"/>
    <x v="0"/>
    <x v="2"/>
    <x v="0"/>
    <n v="16"/>
    <n v="31"/>
    <n v="7"/>
    <n v="30"/>
    <n v="84"/>
  </r>
  <r>
    <n v="27000251"/>
    <x v="0"/>
    <x v="1"/>
    <x v="0"/>
    <x v="1"/>
    <n v="19"/>
    <n v="36"/>
    <n v="12"/>
    <n v="32"/>
    <n v="99"/>
  </r>
  <r>
    <n v="27000254"/>
    <x v="0"/>
    <x v="1"/>
    <x v="0"/>
    <x v="1"/>
    <n v="17.5"/>
    <n v="35"/>
    <n v="12"/>
    <n v="32"/>
    <n v="96.5"/>
  </r>
  <r>
    <n v="27000255"/>
    <x v="0"/>
    <x v="0"/>
    <x v="0"/>
    <x v="0"/>
    <n v="18"/>
    <n v="31"/>
    <n v="11"/>
    <n v="27"/>
    <n v="87"/>
  </r>
  <r>
    <n v="27000257"/>
    <x v="0"/>
    <x v="1"/>
    <x v="0"/>
    <x v="1"/>
    <n v="10"/>
    <n v="15"/>
    <n v="9"/>
    <n v="29"/>
    <n v="63"/>
  </r>
  <r>
    <n v="27000259"/>
    <x v="0"/>
    <x v="1"/>
    <x v="0"/>
    <x v="1"/>
    <n v="19.5"/>
    <n v="14"/>
    <n v="12"/>
    <n v="16"/>
    <n v="61.5"/>
  </r>
  <r>
    <n v="27000261"/>
    <x v="0"/>
    <x v="1"/>
    <x v="0"/>
    <x v="1"/>
    <n v="18"/>
    <n v="30"/>
    <n v="12"/>
    <n v="30"/>
    <n v="90"/>
  </r>
  <r>
    <n v="27000268"/>
    <x v="0"/>
    <x v="0"/>
    <x v="0"/>
    <x v="0"/>
    <n v="12.5"/>
    <n v="15"/>
    <n v="12"/>
    <n v="27.5"/>
    <n v="67"/>
  </r>
  <r>
    <n v="27000270"/>
    <x v="0"/>
    <x v="1"/>
    <x v="0"/>
    <x v="1"/>
    <n v="20"/>
    <n v="36"/>
    <n v="12"/>
    <n v="27"/>
    <n v="95"/>
  </r>
  <r>
    <n v="27000272"/>
    <x v="1"/>
    <x v="0"/>
    <x v="1"/>
    <x v="0"/>
    <n v="15"/>
    <n v="0"/>
    <n v="12"/>
    <n v="13"/>
    <n v="40"/>
  </r>
  <r>
    <n v="27000274"/>
    <x v="0"/>
    <x v="0"/>
    <x v="0"/>
    <x v="0"/>
    <n v="11.5"/>
    <n v="22"/>
    <n v="1"/>
    <n v="25.5"/>
    <n v="60"/>
  </r>
  <r>
    <n v="27000276"/>
    <x v="0"/>
    <x v="0"/>
    <x v="0"/>
    <x v="0"/>
    <n v="7"/>
    <n v="20"/>
    <n v="12"/>
    <n v="21"/>
    <n v="60"/>
  </r>
  <r>
    <n v="27000278"/>
    <x v="0"/>
    <x v="0"/>
    <x v="0"/>
    <x v="2"/>
    <n v="19"/>
    <n v="31"/>
    <n v="12"/>
    <n v="32"/>
    <n v="94"/>
  </r>
  <r>
    <n v="27000280"/>
    <x v="0"/>
    <x v="0"/>
    <x v="0"/>
    <x v="0"/>
    <n v="18.5"/>
    <n v="35"/>
    <n v="12"/>
    <n v="30"/>
    <n v="95.5"/>
  </r>
  <r>
    <n v="27000281"/>
    <x v="0"/>
    <x v="1"/>
    <x v="0"/>
    <x v="1"/>
    <n v="18.5"/>
    <n v="32"/>
    <n v="12"/>
    <n v="28"/>
    <n v="90.5"/>
  </r>
  <r>
    <n v="27000286"/>
    <x v="0"/>
    <x v="0"/>
    <x v="0"/>
    <x v="2"/>
    <n v="13"/>
    <n v="22"/>
    <n v="5"/>
    <n v="30"/>
    <n v="70"/>
  </r>
  <r>
    <n v="27000287"/>
    <x v="0"/>
    <x v="1"/>
    <x v="0"/>
    <x v="1"/>
    <n v="20"/>
    <n v="36"/>
    <n v="12"/>
    <n v="32"/>
    <n v="100"/>
  </r>
  <r>
    <n v="27000289"/>
    <x v="0"/>
    <x v="1"/>
    <x v="0"/>
    <x v="1"/>
    <n v="20"/>
    <n v="36"/>
    <n v="12"/>
    <n v="32"/>
    <n v="100"/>
  </r>
  <r>
    <n v="27000290"/>
    <x v="0"/>
    <x v="1"/>
    <x v="0"/>
    <x v="1"/>
    <n v="20"/>
    <n v="32"/>
    <n v="8"/>
    <n v="24"/>
    <n v="84"/>
  </r>
  <r>
    <n v="27000291"/>
    <x v="0"/>
    <x v="1"/>
    <x v="0"/>
    <x v="1"/>
    <n v="19"/>
    <n v="28"/>
    <n v="12"/>
    <n v="26.5"/>
    <n v="85.5"/>
  </r>
  <r>
    <n v="27000294"/>
    <x v="0"/>
    <x v="1"/>
    <x v="0"/>
    <x v="1"/>
    <n v="20"/>
    <n v="36"/>
    <n v="12"/>
    <n v="32"/>
    <n v="100"/>
  </r>
  <r>
    <n v="27000296"/>
    <x v="0"/>
    <x v="0"/>
    <x v="0"/>
    <x v="2"/>
    <n v="19"/>
    <n v="37"/>
    <n v="12"/>
    <n v="32"/>
    <n v="100"/>
  </r>
  <r>
    <n v="27000297"/>
    <x v="0"/>
    <x v="1"/>
    <x v="0"/>
    <x v="1"/>
    <n v="18.5"/>
    <n v="32"/>
    <n v="12"/>
    <n v="32"/>
    <n v="94.5"/>
  </r>
  <r>
    <n v="27000298"/>
    <x v="0"/>
    <x v="0"/>
    <x v="0"/>
    <x v="2"/>
    <n v="10.5"/>
    <n v="17"/>
    <n v="0"/>
    <n v="18"/>
    <n v="45.5"/>
  </r>
  <r>
    <n v="27000301"/>
    <x v="0"/>
    <x v="0"/>
    <x v="2"/>
    <x v="2"/>
    <n v="0"/>
    <n v="0"/>
    <n v="0"/>
    <n v="0"/>
    <n v="0"/>
  </r>
  <r>
    <n v="27000302"/>
    <x v="0"/>
    <x v="0"/>
    <x v="0"/>
    <x v="0"/>
    <n v="11"/>
    <n v="17"/>
    <n v="0"/>
    <n v="6"/>
    <n v="34"/>
  </r>
  <r>
    <n v="27000303"/>
    <x v="0"/>
    <x v="0"/>
    <x v="0"/>
    <x v="0"/>
    <n v="0"/>
    <n v="9"/>
    <n v="4"/>
    <n v="30"/>
    <n v="43"/>
  </r>
  <r>
    <n v="27000304"/>
    <x v="0"/>
    <x v="1"/>
    <x v="0"/>
    <x v="1"/>
    <n v="0"/>
    <n v="3"/>
    <n v="0"/>
    <n v="0"/>
    <n v="3"/>
  </r>
  <r>
    <n v="27000307"/>
    <x v="4"/>
    <x v="0"/>
    <x v="0"/>
    <x v="0"/>
    <n v="14"/>
    <n v="32"/>
    <n v="12"/>
    <n v="29"/>
    <n v="87"/>
  </r>
  <r>
    <n v="27000308"/>
    <x v="4"/>
    <x v="1"/>
    <x v="0"/>
    <x v="1"/>
    <n v="20"/>
    <n v="36"/>
    <n v="12"/>
    <n v="31"/>
    <n v="99"/>
  </r>
  <r>
    <n v="27000309"/>
    <x v="4"/>
    <x v="0"/>
    <x v="0"/>
    <x v="2"/>
    <n v="16"/>
    <n v="27"/>
    <n v="9"/>
    <n v="28"/>
    <n v="80"/>
  </r>
  <r>
    <n v="27000310"/>
    <x v="4"/>
    <x v="0"/>
    <x v="0"/>
    <x v="0"/>
    <n v="17"/>
    <n v="29"/>
    <n v="12"/>
    <n v="22.5"/>
    <n v="80.5"/>
  </r>
  <r>
    <n v="27000312"/>
    <x v="4"/>
    <x v="0"/>
    <x v="0"/>
    <x v="2"/>
    <n v="19"/>
    <n v="30"/>
    <n v="12"/>
    <n v="15"/>
    <n v="76"/>
  </r>
  <r>
    <n v="27000313"/>
    <x v="4"/>
    <x v="1"/>
    <x v="0"/>
    <x v="1"/>
    <n v="17.5"/>
    <n v="32"/>
    <n v="12"/>
    <n v="25.5"/>
    <n v="87"/>
  </r>
  <r>
    <n v="27000316"/>
    <x v="4"/>
    <x v="0"/>
    <x v="0"/>
    <x v="0"/>
    <n v="0"/>
    <n v="9"/>
    <n v="9"/>
    <n v="17.5"/>
    <n v="35.5"/>
  </r>
  <r>
    <n v="27000317"/>
    <x v="4"/>
    <x v="0"/>
    <x v="0"/>
    <x v="2"/>
    <n v="19"/>
    <n v="24"/>
    <n v="12"/>
    <n v="15"/>
    <n v="70"/>
  </r>
  <r>
    <n v="27000318"/>
    <x v="4"/>
    <x v="0"/>
    <x v="0"/>
    <x v="2"/>
    <n v="8"/>
    <n v="26"/>
    <n v="1"/>
    <n v="0"/>
    <n v="35"/>
  </r>
  <r>
    <n v="27000319"/>
    <x v="4"/>
    <x v="0"/>
    <x v="0"/>
    <x v="0"/>
    <n v="6"/>
    <n v="12"/>
    <n v="6"/>
    <n v="0"/>
    <n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27000001"/>
    <x v="0"/>
    <x v="0"/>
    <s v=""/>
    <s v=""/>
    <b v="0"/>
    <s v=""/>
    <s v=""/>
    <b v="0"/>
    <s v=""/>
    <b v="0"/>
    <n v="0"/>
    <m/>
    <n v="0"/>
    <x v="0"/>
  </r>
  <r>
    <n v="27000002"/>
    <x v="1"/>
    <x v="1"/>
    <s v=""/>
    <s v=""/>
    <b v="0"/>
    <s v=""/>
    <s v=""/>
    <b v="0"/>
    <n v="72"/>
    <b v="1"/>
    <n v="72"/>
    <m/>
    <n v="80"/>
    <x v="1"/>
  </r>
  <r>
    <n v="27000003"/>
    <x v="0"/>
    <x v="0"/>
    <s v=""/>
    <s v=""/>
    <b v="0"/>
    <s v=""/>
    <s v=""/>
    <b v="0"/>
    <s v=""/>
    <b v="0"/>
    <n v="0"/>
    <m/>
    <n v="0"/>
    <x v="0"/>
  </r>
  <r>
    <n v="27000004"/>
    <x v="0"/>
    <x v="0"/>
    <s v=""/>
    <s v=""/>
    <b v="0"/>
    <s v=""/>
    <s v=""/>
    <b v="0"/>
    <s v=""/>
    <b v="0"/>
    <n v="0"/>
    <m/>
    <n v="0"/>
    <x v="0"/>
  </r>
  <r>
    <n v="27000005"/>
    <x v="0"/>
    <x v="0"/>
    <s v=""/>
    <s v=""/>
    <b v="0"/>
    <s v=""/>
    <s v=""/>
    <b v="0"/>
    <s v=""/>
    <b v="0"/>
    <n v="0"/>
    <m/>
    <n v="0"/>
    <x v="0"/>
  </r>
  <r>
    <n v="27000006"/>
    <x v="0"/>
    <x v="2"/>
    <s v=""/>
    <s v=""/>
    <b v="0"/>
    <s v=""/>
    <s v=""/>
    <b v="1"/>
    <s v=""/>
    <b v="0"/>
    <n v="0"/>
    <m/>
    <n v="4"/>
    <x v="2"/>
  </r>
  <r>
    <n v="27000007"/>
    <x v="2"/>
    <x v="3"/>
    <n v="25"/>
    <s v="šolski"/>
    <b v="1"/>
    <s v=""/>
    <s v=""/>
    <b v="0"/>
    <n v="52"/>
    <b v="1"/>
    <n v="52"/>
    <m/>
    <n v="57"/>
    <x v="3"/>
  </r>
  <r>
    <n v="27000008"/>
    <x v="0"/>
    <x v="0"/>
    <s v=""/>
    <s v=""/>
    <b v="0"/>
    <s v=""/>
    <s v=""/>
    <b v="0"/>
    <s v=""/>
    <b v="0"/>
    <n v="0"/>
    <m/>
    <n v="0"/>
    <x v="0"/>
  </r>
  <r>
    <n v="27000009"/>
    <x v="0"/>
    <x v="0"/>
    <s v=""/>
    <s v=""/>
    <b v="0"/>
    <s v=""/>
    <s v=""/>
    <b v="0"/>
    <s v=""/>
    <b v="0"/>
    <n v="0"/>
    <m/>
    <n v="0"/>
    <x v="0"/>
  </r>
  <r>
    <n v="27000010"/>
    <x v="0"/>
    <x v="4"/>
    <s v=""/>
    <s v=""/>
    <b v="0"/>
    <s v=""/>
    <s v=""/>
    <b v="0"/>
    <s v=""/>
    <b v="0"/>
    <n v="0"/>
    <m/>
    <n v="6"/>
    <x v="2"/>
  </r>
  <r>
    <n v="27000011"/>
    <x v="0"/>
    <x v="0"/>
    <s v=""/>
    <s v=""/>
    <b v="0"/>
    <s v=""/>
    <s v=""/>
    <b v="0"/>
    <s v=""/>
    <b v="0"/>
    <n v="0"/>
    <m/>
    <n v="0"/>
    <x v="0"/>
  </r>
  <r>
    <n v="27000012"/>
    <x v="0"/>
    <x v="0"/>
    <s v=""/>
    <s v=""/>
    <b v="0"/>
    <s v=""/>
    <s v=""/>
    <b v="0"/>
    <s v=""/>
    <b v="0"/>
    <n v="0"/>
    <m/>
    <n v="0"/>
    <x v="0"/>
  </r>
  <r>
    <n v="27000013"/>
    <x v="0"/>
    <x v="0"/>
    <s v=""/>
    <s v=""/>
    <b v="0"/>
    <s v=""/>
    <s v=""/>
    <b v="0"/>
    <s v=""/>
    <b v="0"/>
    <n v="0"/>
    <m/>
    <n v="0"/>
    <x v="0"/>
  </r>
  <r>
    <n v="27000014"/>
    <x v="0"/>
    <x v="0"/>
    <s v=""/>
    <s v=""/>
    <b v="0"/>
    <s v=""/>
    <s v=""/>
    <b v="0"/>
    <s v=""/>
    <b v="0"/>
    <n v="0"/>
    <m/>
    <n v="0"/>
    <x v="0"/>
  </r>
  <r>
    <n v="27000015"/>
    <x v="0"/>
    <x v="4"/>
    <n v="0"/>
    <s v="šolski"/>
    <b v="1"/>
    <s v=""/>
    <s v=""/>
    <b v="0"/>
    <s v=""/>
    <b v="0"/>
    <n v="0"/>
    <m/>
    <n v="6"/>
    <x v="2"/>
  </r>
  <r>
    <n v="27000016"/>
    <x v="0"/>
    <x v="0"/>
    <s v=""/>
    <s v=""/>
    <b v="0"/>
    <s v=""/>
    <s v=""/>
    <b v="0"/>
    <s v=""/>
    <b v="0"/>
    <n v="0"/>
    <m/>
    <n v="0"/>
    <x v="0"/>
  </r>
  <r>
    <n v="27000017"/>
    <x v="0"/>
    <x v="0"/>
    <s v=""/>
    <s v=""/>
    <b v="0"/>
    <s v=""/>
    <s v=""/>
    <b v="0"/>
    <s v=""/>
    <b v="0"/>
    <n v="0"/>
    <m/>
    <n v="0"/>
    <x v="0"/>
  </r>
  <r>
    <n v="27000018"/>
    <x v="0"/>
    <x v="0"/>
    <s v=""/>
    <s v=""/>
    <b v="0"/>
    <s v=""/>
    <s v=""/>
    <b v="0"/>
    <s v=""/>
    <b v="0"/>
    <n v="0"/>
    <m/>
    <n v="0"/>
    <x v="0"/>
  </r>
  <r>
    <n v="27000019"/>
    <x v="0"/>
    <x v="0"/>
    <s v=""/>
    <s v=""/>
    <b v="0"/>
    <s v=""/>
    <s v=""/>
    <b v="0"/>
    <s v=""/>
    <b v="0"/>
    <n v="0"/>
    <m/>
    <n v="0"/>
    <x v="0"/>
  </r>
  <r>
    <n v="27000020"/>
    <x v="0"/>
    <x v="3"/>
    <n v="0"/>
    <s v="šolski"/>
    <b v="1"/>
    <s v=""/>
    <s v=""/>
    <b v="0"/>
    <s v=""/>
    <b v="0"/>
    <n v="0"/>
    <m/>
    <n v="5"/>
    <x v="2"/>
  </r>
  <r>
    <n v="27000021"/>
    <x v="0"/>
    <x v="0"/>
    <s v=""/>
    <s v=""/>
    <b v="0"/>
    <s v=""/>
    <s v=""/>
    <b v="0"/>
    <s v=""/>
    <b v="0"/>
    <n v="0"/>
    <m/>
    <n v="0"/>
    <x v="0"/>
  </r>
  <r>
    <n v="27000022"/>
    <x v="0"/>
    <x v="0"/>
    <s v=""/>
    <s v=""/>
    <b v="0"/>
    <s v=""/>
    <s v=""/>
    <b v="0"/>
    <s v=""/>
    <b v="0"/>
    <n v="0"/>
    <m/>
    <n v="0"/>
    <x v="0"/>
  </r>
  <r>
    <n v="27000023"/>
    <x v="0"/>
    <x v="2"/>
    <s v=""/>
    <s v=""/>
    <b v="0"/>
    <s v=""/>
    <s v=""/>
    <b v="0"/>
    <s v=""/>
    <b v="0"/>
    <n v="0"/>
    <m/>
    <n v="4"/>
    <x v="2"/>
  </r>
  <r>
    <n v="27000024"/>
    <x v="0"/>
    <x v="0"/>
    <s v=""/>
    <s v=""/>
    <b v="0"/>
    <s v=""/>
    <s v=""/>
    <b v="0"/>
    <s v=""/>
    <b v="0"/>
    <n v="0"/>
    <m/>
    <n v="0"/>
    <x v="0"/>
  </r>
  <r>
    <n v="27000025"/>
    <x v="0"/>
    <x v="0"/>
    <s v=""/>
    <s v=""/>
    <b v="0"/>
    <s v=""/>
    <s v=""/>
    <b v="0"/>
    <s v=""/>
    <b v="0"/>
    <n v="0"/>
    <m/>
    <n v="0"/>
    <x v="0"/>
  </r>
  <r>
    <n v="27000026"/>
    <x v="0"/>
    <x v="0"/>
    <s v=""/>
    <s v=""/>
    <b v="0"/>
    <s v=""/>
    <s v=""/>
    <b v="0"/>
    <s v=""/>
    <b v="0"/>
    <n v="0"/>
    <m/>
    <n v="0"/>
    <x v="0"/>
  </r>
  <r>
    <n v="27000027"/>
    <x v="0"/>
    <x v="4"/>
    <n v="46"/>
    <s v="šolski"/>
    <b v="1"/>
    <n v="55"/>
    <s v="šolski"/>
    <b v="1"/>
    <s v=""/>
    <b v="0"/>
    <n v="55"/>
    <m/>
    <n v="61"/>
    <x v="4"/>
  </r>
  <r>
    <n v="27000028"/>
    <x v="0"/>
    <x v="3"/>
    <s v=""/>
    <s v=""/>
    <b v="0"/>
    <n v="67"/>
    <s v="šolski"/>
    <b v="1"/>
    <s v=""/>
    <b v="0"/>
    <n v="67"/>
    <m/>
    <n v="72"/>
    <x v="5"/>
  </r>
  <r>
    <n v="27000029"/>
    <x v="2"/>
    <x v="5"/>
    <n v="23"/>
    <s v="svoj"/>
    <b v="1"/>
    <s v=""/>
    <s v=""/>
    <b v="0"/>
    <n v="28"/>
    <b v="1"/>
    <n v="28"/>
    <m/>
    <n v="31"/>
    <x v="2"/>
  </r>
  <r>
    <n v="27000030"/>
    <x v="0"/>
    <x v="4"/>
    <s v=""/>
    <s v=""/>
    <b v="0"/>
    <n v="66"/>
    <s v="svoj"/>
    <b v="1"/>
    <s v=""/>
    <b v="0"/>
    <n v="66"/>
    <m/>
    <n v="72"/>
    <x v="5"/>
  </r>
  <r>
    <n v="27000031"/>
    <x v="3"/>
    <x v="6"/>
    <n v="86.5"/>
    <s v="šolski"/>
    <b v="1"/>
    <s v=""/>
    <s v=""/>
    <b v="0"/>
    <s v=""/>
    <b v="0"/>
    <n v="86.5"/>
    <m/>
    <n v="95.5"/>
    <x v="6"/>
  </r>
  <r>
    <n v="27000032"/>
    <x v="3"/>
    <x v="0"/>
    <s v=""/>
    <s v=""/>
    <b v="0"/>
    <s v=""/>
    <s v=""/>
    <b v="0"/>
    <s v=""/>
    <b v="0"/>
    <n v="0"/>
    <m/>
    <n v="0"/>
    <x v="0"/>
  </r>
  <r>
    <n v="27000033"/>
    <x v="3"/>
    <x v="5"/>
    <n v="64"/>
    <s v="svoj"/>
    <b v="1"/>
    <s v=""/>
    <s v=""/>
    <b v="0"/>
    <s v=""/>
    <b v="0"/>
    <n v="64"/>
    <m/>
    <n v="67"/>
    <x v="4"/>
  </r>
  <r>
    <n v="27000034"/>
    <x v="3"/>
    <x v="0"/>
    <s v=""/>
    <s v=""/>
    <b v="0"/>
    <s v=""/>
    <s v=""/>
    <b v="0"/>
    <s v=""/>
    <b v="0"/>
    <n v="0"/>
    <m/>
    <n v="0"/>
    <x v="0"/>
  </r>
  <r>
    <n v="27000035"/>
    <x v="3"/>
    <x v="0"/>
    <s v=""/>
    <s v=""/>
    <b v="0"/>
    <s v=""/>
    <s v=""/>
    <b v="0"/>
    <s v=""/>
    <b v="0"/>
    <n v="0"/>
    <m/>
    <n v="0"/>
    <x v="0"/>
  </r>
  <r>
    <n v="27000036"/>
    <x v="3"/>
    <x v="0"/>
    <s v=""/>
    <s v=""/>
    <b v="0"/>
    <s v=""/>
    <s v=""/>
    <b v="0"/>
    <s v=""/>
    <b v="0"/>
    <n v="0"/>
    <m/>
    <n v="0"/>
    <x v="0"/>
  </r>
  <r>
    <n v="27000037"/>
    <x v="3"/>
    <x v="0"/>
    <s v=""/>
    <s v=""/>
    <b v="0"/>
    <s v=""/>
    <s v=""/>
    <b v="0"/>
    <s v=""/>
    <b v="0"/>
    <n v="0"/>
    <m/>
    <n v="0"/>
    <x v="0"/>
  </r>
  <r>
    <n v="27000038"/>
    <x v="3"/>
    <x v="0"/>
    <s v=""/>
    <s v=""/>
    <b v="0"/>
    <s v=""/>
    <s v=""/>
    <b v="0"/>
    <s v=""/>
    <b v="0"/>
    <n v="0"/>
    <m/>
    <n v="0"/>
    <x v="0"/>
  </r>
  <r>
    <n v="27000039"/>
    <x v="3"/>
    <x v="0"/>
    <s v=""/>
    <s v=""/>
    <b v="0"/>
    <s v=""/>
    <s v=""/>
    <b v="0"/>
    <s v=""/>
    <b v="0"/>
    <n v="0"/>
    <m/>
    <n v="0"/>
    <x v="0"/>
  </r>
  <r>
    <n v="27000040"/>
    <x v="3"/>
    <x v="0"/>
    <s v=""/>
    <s v=""/>
    <b v="0"/>
    <s v=""/>
    <s v=""/>
    <b v="0"/>
    <s v=""/>
    <b v="0"/>
    <n v="0"/>
    <m/>
    <n v="0"/>
    <x v="0"/>
  </r>
  <r>
    <n v="27000041"/>
    <x v="3"/>
    <x v="0"/>
    <s v=""/>
    <s v=""/>
    <b v="0"/>
    <s v=""/>
    <s v=""/>
    <b v="0"/>
    <s v=""/>
    <b v="0"/>
    <n v="0"/>
    <m/>
    <n v="0"/>
    <x v="0"/>
  </r>
  <r>
    <n v="27000042"/>
    <x v="3"/>
    <x v="0"/>
    <s v=""/>
    <s v=""/>
    <b v="0"/>
    <s v=""/>
    <s v=""/>
    <b v="0"/>
    <s v=""/>
    <b v="0"/>
    <n v="0"/>
    <m/>
    <n v="0"/>
    <x v="0"/>
  </r>
  <r>
    <n v="27000043"/>
    <x v="3"/>
    <x v="0"/>
    <s v=""/>
    <s v=""/>
    <b v="0"/>
    <s v=""/>
    <s v=""/>
    <b v="0"/>
    <s v=""/>
    <b v="0"/>
    <n v="0"/>
    <m/>
    <n v="0"/>
    <x v="0"/>
  </r>
  <r>
    <n v="27000044"/>
    <x v="3"/>
    <x v="6"/>
    <n v="95"/>
    <s v="šolski"/>
    <b v="1"/>
    <s v=""/>
    <s v=""/>
    <b v="0"/>
    <s v=""/>
    <b v="0"/>
    <n v="95"/>
    <m/>
    <n v="104"/>
    <x v="6"/>
  </r>
  <r>
    <n v="27000045"/>
    <x v="3"/>
    <x v="0"/>
    <s v=""/>
    <s v=""/>
    <b v="0"/>
    <s v=""/>
    <s v=""/>
    <b v="0"/>
    <s v=""/>
    <b v="0"/>
    <n v="0"/>
    <m/>
    <n v="0"/>
    <x v="0"/>
  </r>
  <r>
    <n v="27000046"/>
    <x v="3"/>
    <x v="0"/>
    <s v=""/>
    <s v=""/>
    <b v="0"/>
    <s v=""/>
    <s v=""/>
    <b v="0"/>
    <s v=""/>
    <b v="0"/>
    <n v="0"/>
    <m/>
    <n v="0"/>
    <x v="0"/>
  </r>
  <r>
    <n v="27000047"/>
    <x v="3"/>
    <x v="0"/>
    <s v=""/>
    <s v=""/>
    <b v="0"/>
    <s v=""/>
    <s v=""/>
    <b v="0"/>
    <s v=""/>
    <b v="0"/>
    <n v="0"/>
    <m/>
    <n v="0"/>
    <x v="0"/>
  </r>
  <r>
    <n v="27000048"/>
    <x v="3"/>
    <x v="0"/>
    <s v=""/>
    <s v=""/>
    <b v="0"/>
    <s v=""/>
    <s v=""/>
    <b v="0"/>
    <s v=""/>
    <b v="0"/>
    <n v="0"/>
    <m/>
    <n v="0"/>
    <x v="0"/>
  </r>
  <r>
    <n v="27000049"/>
    <x v="3"/>
    <x v="0"/>
    <s v=""/>
    <s v=""/>
    <b v="0"/>
    <s v=""/>
    <s v=""/>
    <b v="0"/>
    <s v=""/>
    <b v="0"/>
    <n v="0"/>
    <m/>
    <n v="0"/>
    <x v="0"/>
  </r>
  <r>
    <n v="27000050"/>
    <x v="3"/>
    <x v="0"/>
    <s v=""/>
    <s v=""/>
    <b v="0"/>
    <s v=""/>
    <s v=""/>
    <b v="0"/>
    <s v=""/>
    <b v="0"/>
    <n v="0"/>
    <m/>
    <n v="0"/>
    <x v="0"/>
  </r>
  <r>
    <n v="27000051"/>
    <x v="3"/>
    <x v="1"/>
    <n v="53.5"/>
    <s v="šolski"/>
    <b v="1"/>
    <s v=""/>
    <s v=""/>
    <b v="0"/>
    <s v=""/>
    <b v="0"/>
    <n v="53.5"/>
    <m/>
    <n v="61.5"/>
    <x v="4"/>
  </r>
  <r>
    <n v="27000052"/>
    <x v="3"/>
    <x v="0"/>
    <s v=""/>
    <s v=""/>
    <b v="0"/>
    <s v=""/>
    <s v=""/>
    <b v="0"/>
    <s v=""/>
    <b v="0"/>
    <n v="0"/>
    <m/>
    <n v="0"/>
    <x v="0"/>
  </r>
  <r>
    <n v="27000053"/>
    <x v="3"/>
    <x v="0"/>
    <s v=""/>
    <s v=""/>
    <b v="0"/>
    <s v=""/>
    <s v=""/>
    <b v="0"/>
    <s v=""/>
    <b v="0"/>
    <n v="0"/>
    <m/>
    <n v="0"/>
    <x v="0"/>
  </r>
  <r>
    <n v="27000054"/>
    <x v="3"/>
    <x v="0"/>
    <s v=""/>
    <s v=""/>
    <b v="0"/>
    <s v=""/>
    <s v=""/>
    <b v="0"/>
    <s v=""/>
    <b v="0"/>
    <n v="0"/>
    <m/>
    <n v="0"/>
    <x v="0"/>
  </r>
  <r>
    <n v="27000055"/>
    <x v="3"/>
    <x v="0"/>
    <s v=""/>
    <s v=""/>
    <b v="0"/>
    <s v=""/>
    <s v=""/>
    <b v="0"/>
    <s v=""/>
    <b v="0"/>
    <n v="0"/>
    <m/>
    <n v="0"/>
    <x v="0"/>
  </r>
  <r>
    <n v="27000056"/>
    <x v="3"/>
    <x v="0"/>
    <s v=""/>
    <s v=""/>
    <b v="0"/>
    <s v=""/>
    <s v=""/>
    <b v="0"/>
    <s v=""/>
    <b v="0"/>
    <n v="0"/>
    <m/>
    <n v="0"/>
    <x v="0"/>
  </r>
  <r>
    <n v="27000057"/>
    <x v="3"/>
    <x v="0"/>
    <s v=""/>
    <s v=""/>
    <b v="0"/>
    <s v=""/>
    <s v=""/>
    <b v="0"/>
    <s v=""/>
    <b v="0"/>
    <n v="0"/>
    <m/>
    <n v="0"/>
    <x v="0"/>
  </r>
  <r>
    <n v="27000058"/>
    <x v="3"/>
    <x v="0"/>
    <s v=""/>
    <s v=""/>
    <b v="0"/>
    <s v=""/>
    <s v=""/>
    <b v="0"/>
    <s v=""/>
    <b v="0"/>
    <n v="0"/>
    <m/>
    <n v="0"/>
    <x v="0"/>
  </r>
  <r>
    <n v="27000059"/>
    <x v="3"/>
    <x v="0"/>
    <s v=""/>
    <s v=""/>
    <b v="0"/>
    <s v=""/>
    <s v=""/>
    <b v="0"/>
    <s v=""/>
    <b v="0"/>
    <n v="0"/>
    <m/>
    <n v="0"/>
    <x v="0"/>
  </r>
  <r>
    <n v="27000060"/>
    <x v="3"/>
    <x v="0"/>
    <s v=""/>
    <s v=""/>
    <b v="0"/>
    <s v=""/>
    <s v=""/>
    <b v="0"/>
    <s v=""/>
    <b v="0"/>
    <n v="0"/>
    <m/>
    <n v="0"/>
    <x v="0"/>
  </r>
  <r>
    <n v="27000061"/>
    <x v="3"/>
    <x v="0"/>
    <s v=""/>
    <s v=""/>
    <b v="0"/>
    <s v=""/>
    <s v=""/>
    <b v="0"/>
    <s v=""/>
    <b v="0"/>
    <n v="0"/>
    <m/>
    <n v="0"/>
    <x v="0"/>
  </r>
  <r>
    <n v="27000062"/>
    <x v="3"/>
    <x v="5"/>
    <s v=""/>
    <s v=""/>
    <b v="0"/>
    <s v=""/>
    <s v=""/>
    <b v="0"/>
    <s v=""/>
    <b v="0"/>
    <n v="0"/>
    <m/>
    <n v="3"/>
    <x v="2"/>
  </r>
  <r>
    <n v="27000063"/>
    <x v="3"/>
    <x v="7"/>
    <n v="99"/>
    <s v="svoj"/>
    <b v="1"/>
    <s v=""/>
    <s v=""/>
    <b v="0"/>
    <s v=""/>
    <b v="0"/>
    <n v="99"/>
    <m/>
    <n v="109"/>
    <x v="6"/>
  </r>
  <r>
    <n v="27000064"/>
    <x v="3"/>
    <x v="1"/>
    <s v=""/>
    <s v=""/>
    <b v="0"/>
    <s v=""/>
    <s v=""/>
    <b v="0"/>
    <s v=""/>
    <b v="0"/>
    <n v="0"/>
    <m/>
    <n v="8"/>
    <x v="2"/>
  </r>
  <r>
    <n v="27000065"/>
    <x v="3"/>
    <x v="0"/>
    <s v=""/>
    <s v=""/>
    <b v="0"/>
    <s v=""/>
    <s v=""/>
    <b v="0"/>
    <s v=""/>
    <b v="0"/>
    <n v="0"/>
    <m/>
    <n v="0"/>
    <x v="0"/>
  </r>
  <r>
    <n v="27000066"/>
    <x v="3"/>
    <x v="0"/>
    <s v=""/>
    <s v=""/>
    <b v="0"/>
    <s v=""/>
    <s v=""/>
    <b v="0"/>
    <s v=""/>
    <b v="0"/>
    <n v="0"/>
    <m/>
    <n v="0"/>
    <x v="0"/>
  </r>
  <r>
    <n v="27000067"/>
    <x v="3"/>
    <x v="0"/>
    <s v=""/>
    <s v=""/>
    <b v="0"/>
    <s v=""/>
    <s v=""/>
    <b v="0"/>
    <s v=""/>
    <b v="0"/>
    <n v="0"/>
    <m/>
    <n v="0"/>
    <x v="0"/>
  </r>
  <r>
    <n v="27000068"/>
    <x v="3"/>
    <x v="0"/>
    <s v=""/>
    <s v=""/>
    <b v="0"/>
    <s v=""/>
    <s v=""/>
    <b v="0"/>
    <s v=""/>
    <b v="0"/>
    <n v="0"/>
    <m/>
    <n v="0"/>
    <x v="0"/>
  </r>
  <r>
    <n v="27000069"/>
    <x v="3"/>
    <x v="0"/>
    <s v=""/>
    <s v=""/>
    <b v="0"/>
    <s v=""/>
    <s v=""/>
    <b v="0"/>
    <s v=""/>
    <b v="0"/>
    <n v="0"/>
    <m/>
    <n v="0"/>
    <x v="0"/>
  </r>
  <r>
    <n v="27000070"/>
    <x v="3"/>
    <x v="0"/>
    <s v=""/>
    <s v=""/>
    <b v="0"/>
    <s v=""/>
    <s v=""/>
    <b v="0"/>
    <s v=""/>
    <b v="0"/>
    <n v="0"/>
    <m/>
    <n v="0"/>
    <x v="0"/>
  </r>
  <r>
    <n v="27000071"/>
    <x v="3"/>
    <x v="5"/>
    <s v=""/>
    <s v=""/>
    <b v="0"/>
    <s v=""/>
    <s v=""/>
    <b v="0"/>
    <s v=""/>
    <b v="0"/>
    <n v="0"/>
    <m/>
    <n v="3"/>
    <x v="2"/>
  </r>
  <r>
    <n v="27000072"/>
    <x v="3"/>
    <x v="0"/>
    <s v=""/>
    <s v=""/>
    <b v="0"/>
    <s v=""/>
    <s v=""/>
    <b v="0"/>
    <s v=""/>
    <b v="0"/>
    <n v="0"/>
    <m/>
    <n v="0"/>
    <x v="0"/>
  </r>
  <r>
    <n v="27000073"/>
    <x v="3"/>
    <x v="0"/>
    <s v=""/>
    <s v=""/>
    <b v="0"/>
    <s v=""/>
    <s v=""/>
    <b v="0"/>
    <s v=""/>
    <b v="0"/>
    <n v="0"/>
    <m/>
    <n v="0"/>
    <x v="0"/>
  </r>
  <r>
    <n v="27000074"/>
    <x v="3"/>
    <x v="5"/>
    <s v=""/>
    <s v=""/>
    <b v="0"/>
    <s v=""/>
    <s v=""/>
    <b v="0"/>
    <s v=""/>
    <b v="0"/>
    <n v="0"/>
    <m/>
    <n v="3"/>
    <x v="2"/>
  </r>
  <r>
    <n v="27000075"/>
    <x v="3"/>
    <x v="0"/>
    <s v=""/>
    <s v=""/>
    <b v="0"/>
    <s v=""/>
    <s v=""/>
    <b v="0"/>
    <s v=""/>
    <b v="0"/>
    <n v="0"/>
    <m/>
    <n v="0"/>
    <x v="0"/>
  </r>
  <r>
    <n v="27000076"/>
    <x v="3"/>
    <x v="1"/>
    <n v="92.5"/>
    <s v="šolski"/>
    <b v="1"/>
    <s v=""/>
    <s v=""/>
    <b v="0"/>
    <s v=""/>
    <b v="0"/>
    <n v="92.5"/>
    <m/>
    <n v="100.5"/>
    <x v="6"/>
  </r>
  <r>
    <n v="27000077"/>
    <x v="3"/>
    <x v="0"/>
    <s v=""/>
    <s v=""/>
    <b v="0"/>
    <s v=""/>
    <s v=""/>
    <b v="0"/>
    <s v=""/>
    <b v="0"/>
    <n v="0"/>
    <m/>
    <n v="0"/>
    <x v="0"/>
  </r>
  <r>
    <n v="27000078"/>
    <x v="3"/>
    <x v="1"/>
    <n v="0"/>
    <s v="šolski"/>
    <b v="1"/>
    <n v="67"/>
    <s v="šolski"/>
    <b v="1"/>
    <s v=""/>
    <b v="0"/>
    <n v="67"/>
    <m/>
    <n v="75"/>
    <x v="5"/>
  </r>
  <r>
    <n v="27000079"/>
    <x v="3"/>
    <x v="1"/>
    <s v=""/>
    <s v=""/>
    <b v="0"/>
    <n v="74"/>
    <s v="šolski"/>
    <b v="1"/>
    <s v=""/>
    <b v="0"/>
    <n v="74"/>
    <m/>
    <n v="82"/>
    <x v="1"/>
  </r>
  <r>
    <n v="27000080"/>
    <x v="3"/>
    <x v="4"/>
    <s v=""/>
    <s v=""/>
    <b v="0"/>
    <n v="47"/>
    <s v="šolski"/>
    <b v="1"/>
    <s v=""/>
    <b v="0"/>
    <n v="47"/>
    <m/>
    <n v="53"/>
    <x v="3"/>
  </r>
  <r>
    <n v="27000081"/>
    <x v="3"/>
    <x v="4"/>
    <s v=""/>
    <s v=""/>
    <b v="0"/>
    <n v="72"/>
    <s v="šolski"/>
    <b v="1"/>
    <s v=""/>
    <b v="0"/>
    <n v="72"/>
    <m/>
    <n v="78"/>
    <x v="5"/>
  </r>
  <r>
    <n v="27000082"/>
    <x v="3"/>
    <x v="3"/>
    <n v="25"/>
    <s v="šolski"/>
    <b v="1"/>
    <n v="45"/>
    <s v="šolski"/>
    <b v="1"/>
    <s v=""/>
    <b v="0"/>
    <n v="45"/>
    <m/>
    <n v="50"/>
    <x v="3"/>
  </r>
  <r>
    <n v="27000083"/>
    <x v="3"/>
    <x v="1"/>
    <s v=""/>
    <s v=""/>
    <b v="0"/>
    <n v="41"/>
    <s v="šolski"/>
    <b v="1"/>
    <n v="0"/>
    <b v="1"/>
    <n v="41"/>
    <m/>
    <n v="49"/>
    <x v="2"/>
  </r>
  <r>
    <n v="27000084"/>
    <x v="3"/>
    <x v="8"/>
    <s v=""/>
    <s v=""/>
    <b v="0"/>
    <n v="47"/>
    <s v="svoj"/>
    <b v="1"/>
    <s v=""/>
    <b v="0"/>
    <n v="47"/>
    <m/>
    <n v="54"/>
    <x v="3"/>
  </r>
  <r>
    <n v="27000085"/>
    <x v="3"/>
    <x v="3"/>
    <s v=""/>
    <s v=""/>
    <b v="0"/>
    <n v="67"/>
    <s v="svoj"/>
    <b v="1"/>
    <s v=""/>
    <b v="0"/>
    <n v="67"/>
    <m/>
    <n v="72"/>
    <x v="5"/>
  </r>
  <r>
    <n v="27000086"/>
    <x v="3"/>
    <x v="1"/>
    <s v=""/>
    <s v=""/>
    <b v="0"/>
    <n v="64"/>
    <s v="svoj"/>
    <b v="1"/>
    <s v=""/>
    <b v="0"/>
    <n v="64"/>
    <m/>
    <n v="72"/>
    <x v="5"/>
  </r>
  <r>
    <n v="27000087"/>
    <x v="3"/>
    <x v="2"/>
    <s v=""/>
    <s v=""/>
    <b v="0"/>
    <n v="65"/>
    <s v="svoj"/>
    <b v="1"/>
    <s v=""/>
    <b v="0"/>
    <n v="65"/>
    <n v="1"/>
    <n v="70"/>
    <x v="5"/>
  </r>
  <r>
    <n v="27000088"/>
    <x v="1"/>
    <x v="6"/>
    <n v="77.5"/>
    <s v="svoj"/>
    <b v="1"/>
    <s v=""/>
    <s v=""/>
    <b v="0"/>
    <s v=""/>
    <b v="0"/>
    <n v="77.5"/>
    <m/>
    <n v="86.5"/>
    <x v="1"/>
  </r>
  <r>
    <n v="27000089"/>
    <x v="1"/>
    <x v="0"/>
    <s v=""/>
    <s v=""/>
    <b v="0"/>
    <s v=""/>
    <s v=""/>
    <b v="0"/>
    <s v=""/>
    <b v="0"/>
    <n v="0"/>
    <m/>
    <n v="0"/>
    <x v="0"/>
  </r>
  <r>
    <n v="27000090"/>
    <x v="1"/>
    <x v="0"/>
    <s v=""/>
    <s v=""/>
    <b v="0"/>
    <s v=""/>
    <s v=""/>
    <b v="0"/>
    <s v=""/>
    <b v="0"/>
    <n v="0"/>
    <m/>
    <n v="0"/>
    <x v="0"/>
  </r>
  <r>
    <n v="27000091"/>
    <x v="1"/>
    <x v="0"/>
    <s v=""/>
    <s v=""/>
    <b v="0"/>
    <s v=""/>
    <s v=""/>
    <b v="0"/>
    <s v=""/>
    <b v="0"/>
    <n v="0"/>
    <m/>
    <n v="0"/>
    <x v="0"/>
  </r>
  <r>
    <n v="27000092"/>
    <x v="1"/>
    <x v="1"/>
    <n v="76.5"/>
    <s v="svoj"/>
    <b v="1"/>
    <s v=""/>
    <s v=""/>
    <b v="0"/>
    <s v=""/>
    <b v="0"/>
    <n v="76.5"/>
    <m/>
    <n v="84.5"/>
    <x v="1"/>
  </r>
  <r>
    <n v="27000093"/>
    <x v="1"/>
    <x v="1"/>
    <n v="52.5"/>
    <s v="svoj"/>
    <b v="1"/>
    <s v=""/>
    <s v=""/>
    <b v="0"/>
    <s v=""/>
    <b v="0"/>
    <n v="52.5"/>
    <m/>
    <n v="60.5"/>
    <x v="4"/>
  </r>
  <r>
    <n v="27000094"/>
    <x v="1"/>
    <x v="0"/>
    <s v=""/>
    <s v=""/>
    <b v="0"/>
    <s v=""/>
    <s v=""/>
    <b v="0"/>
    <s v=""/>
    <b v="0"/>
    <n v="0"/>
    <m/>
    <n v="0"/>
    <x v="0"/>
  </r>
  <r>
    <n v="27000095"/>
    <x v="1"/>
    <x v="0"/>
    <s v=""/>
    <s v=""/>
    <b v="0"/>
    <s v=""/>
    <s v=""/>
    <b v="0"/>
    <s v=""/>
    <b v="0"/>
    <n v="0"/>
    <m/>
    <n v="0"/>
    <x v="0"/>
  </r>
  <r>
    <n v="27000096"/>
    <x v="1"/>
    <x v="6"/>
    <n v="91.5"/>
    <s v="šolski"/>
    <b v="1"/>
    <s v=""/>
    <s v=""/>
    <b v="0"/>
    <s v=""/>
    <b v="0"/>
    <n v="91.5"/>
    <m/>
    <n v="100.5"/>
    <x v="6"/>
  </r>
  <r>
    <n v="27000097"/>
    <x v="1"/>
    <x v="0"/>
    <s v=""/>
    <s v=""/>
    <b v="0"/>
    <s v=""/>
    <s v=""/>
    <b v="0"/>
    <s v=""/>
    <b v="0"/>
    <n v="0"/>
    <m/>
    <n v="0"/>
    <x v="0"/>
  </r>
  <r>
    <n v="27000098"/>
    <x v="1"/>
    <x v="0"/>
    <s v=""/>
    <s v=""/>
    <b v="0"/>
    <s v=""/>
    <s v=""/>
    <b v="0"/>
    <s v=""/>
    <b v="0"/>
    <n v="0"/>
    <m/>
    <n v="0"/>
    <x v="0"/>
  </r>
  <r>
    <n v="27000099"/>
    <x v="1"/>
    <x v="0"/>
    <s v=""/>
    <s v=""/>
    <b v="0"/>
    <s v=""/>
    <s v=""/>
    <b v="0"/>
    <s v=""/>
    <b v="0"/>
    <n v="0"/>
    <m/>
    <n v="0"/>
    <x v="0"/>
  </r>
  <r>
    <n v="27000100"/>
    <x v="1"/>
    <x v="6"/>
    <n v="82"/>
    <s v="svoj"/>
    <b v="1"/>
    <s v=""/>
    <s v=""/>
    <b v="0"/>
    <s v=""/>
    <b v="0"/>
    <n v="82"/>
    <m/>
    <n v="91"/>
    <x v="6"/>
  </r>
  <r>
    <n v="27000101"/>
    <x v="1"/>
    <x v="6"/>
    <n v="76"/>
    <s v="šolski"/>
    <b v="1"/>
    <s v=""/>
    <s v=""/>
    <b v="0"/>
    <s v=""/>
    <b v="0"/>
    <n v="76"/>
    <m/>
    <n v="85"/>
    <x v="1"/>
  </r>
  <r>
    <n v="27000102"/>
    <x v="1"/>
    <x v="0"/>
    <s v=""/>
    <s v=""/>
    <b v="0"/>
    <s v=""/>
    <s v=""/>
    <b v="0"/>
    <s v=""/>
    <b v="0"/>
    <n v="0"/>
    <m/>
    <n v="0"/>
    <x v="0"/>
  </r>
  <r>
    <n v="27000103"/>
    <x v="1"/>
    <x v="1"/>
    <n v="51"/>
    <s v="svoj"/>
    <b v="1"/>
    <s v=""/>
    <s v=""/>
    <b v="0"/>
    <s v=""/>
    <b v="0"/>
    <n v="51"/>
    <m/>
    <n v="59"/>
    <x v="3"/>
  </r>
  <r>
    <n v="27000104"/>
    <x v="1"/>
    <x v="6"/>
    <n v="82"/>
    <s v="svoj"/>
    <b v="1"/>
    <s v=""/>
    <s v=""/>
    <b v="0"/>
    <s v=""/>
    <b v="0"/>
    <n v="82"/>
    <m/>
    <n v="91"/>
    <x v="6"/>
  </r>
  <r>
    <n v="27000105"/>
    <x v="1"/>
    <x v="0"/>
    <n v="56"/>
    <s v="šolski"/>
    <b v="1"/>
    <s v=""/>
    <s v=""/>
    <b v="0"/>
    <s v=""/>
    <b v="0"/>
    <n v="56"/>
    <m/>
    <n v="56"/>
    <x v="3"/>
  </r>
  <r>
    <n v="27000106"/>
    <x v="1"/>
    <x v="0"/>
    <s v=""/>
    <s v=""/>
    <b v="0"/>
    <s v=""/>
    <s v=""/>
    <b v="0"/>
    <s v=""/>
    <b v="0"/>
    <n v="0"/>
    <m/>
    <n v="0"/>
    <x v="0"/>
  </r>
  <r>
    <n v="27000107"/>
    <x v="1"/>
    <x v="0"/>
    <s v=""/>
    <s v=""/>
    <b v="0"/>
    <s v=""/>
    <s v=""/>
    <b v="0"/>
    <s v=""/>
    <b v="0"/>
    <n v="0"/>
    <m/>
    <n v="0"/>
    <x v="0"/>
  </r>
  <r>
    <n v="27000108"/>
    <x v="1"/>
    <x v="0"/>
    <s v=""/>
    <s v=""/>
    <b v="0"/>
    <s v=""/>
    <s v=""/>
    <b v="0"/>
    <s v=""/>
    <b v="0"/>
    <n v="0"/>
    <m/>
    <n v="0"/>
    <x v="0"/>
  </r>
  <r>
    <n v="27000109"/>
    <x v="1"/>
    <x v="0"/>
    <s v=""/>
    <s v=""/>
    <b v="0"/>
    <s v=""/>
    <s v=""/>
    <b v="0"/>
    <s v=""/>
    <b v="0"/>
    <n v="0"/>
    <m/>
    <n v="0"/>
    <x v="0"/>
  </r>
  <r>
    <n v="27000110"/>
    <x v="1"/>
    <x v="0"/>
    <s v=""/>
    <s v=""/>
    <b v="0"/>
    <s v=""/>
    <s v=""/>
    <b v="0"/>
    <s v=""/>
    <b v="0"/>
    <n v="0"/>
    <m/>
    <n v="0"/>
    <x v="0"/>
  </r>
  <r>
    <n v="27000111"/>
    <x v="1"/>
    <x v="6"/>
    <n v="95"/>
    <s v="svoj"/>
    <b v="1"/>
    <s v=""/>
    <s v=""/>
    <b v="0"/>
    <s v=""/>
    <b v="0"/>
    <n v="95"/>
    <m/>
    <n v="104"/>
    <x v="6"/>
  </r>
  <r>
    <n v="27000112"/>
    <x v="1"/>
    <x v="0"/>
    <s v=""/>
    <s v=""/>
    <b v="0"/>
    <s v=""/>
    <s v=""/>
    <b v="0"/>
    <s v=""/>
    <b v="0"/>
    <n v="0"/>
    <m/>
    <n v="0"/>
    <x v="0"/>
  </r>
  <r>
    <n v="27000113"/>
    <x v="1"/>
    <x v="1"/>
    <n v="60"/>
    <s v="svoj"/>
    <b v="1"/>
    <s v=""/>
    <s v=""/>
    <b v="0"/>
    <s v=""/>
    <b v="0"/>
    <n v="60"/>
    <m/>
    <n v="68"/>
    <x v="4"/>
  </r>
  <r>
    <n v="27000114"/>
    <x v="1"/>
    <x v="0"/>
    <s v=""/>
    <s v=""/>
    <b v="0"/>
    <s v=""/>
    <s v=""/>
    <b v="0"/>
    <s v=""/>
    <b v="0"/>
    <n v="0"/>
    <m/>
    <n v="0"/>
    <x v="0"/>
  </r>
  <r>
    <n v="27000115"/>
    <x v="1"/>
    <x v="6"/>
    <n v="84"/>
    <s v="svoj"/>
    <b v="1"/>
    <s v=""/>
    <s v=""/>
    <b v="0"/>
    <s v=""/>
    <b v="0"/>
    <n v="84"/>
    <m/>
    <n v="93"/>
    <x v="6"/>
  </r>
  <r>
    <n v="27000116"/>
    <x v="1"/>
    <x v="0"/>
    <s v=""/>
    <s v=""/>
    <b v="0"/>
    <s v=""/>
    <s v=""/>
    <b v="0"/>
    <s v=""/>
    <b v="0"/>
    <n v="0"/>
    <m/>
    <n v="0"/>
    <x v="0"/>
  </r>
  <r>
    <n v="27000117"/>
    <x v="1"/>
    <x v="0"/>
    <s v=""/>
    <s v=""/>
    <b v="0"/>
    <s v=""/>
    <s v=""/>
    <b v="0"/>
    <s v=""/>
    <b v="0"/>
    <n v="0"/>
    <m/>
    <n v="0"/>
    <x v="0"/>
  </r>
  <r>
    <n v="27000118"/>
    <x v="1"/>
    <x v="6"/>
    <n v="83"/>
    <s v="svoj"/>
    <b v="1"/>
    <s v=""/>
    <s v=""/>
    <b v="0"/>
    <s v=""/>
    <b v="0"/>
    <n v="83"/>
    <m/>
    <n v="92"/>
    <x v="6"/>
  </r>
  <r>
    <n v="27000119"/>
    <x v="1"/>
    <x v="0"/>
    <s v=""/>
    <s v=""/>
    <b v="0"/>
    <s v=""/>
    <s v=""/>
    <b v="0"/>
    <s v=""/>
    <b v="0"/>
    <n v="0"/>
    <m/>
    <n v="0"/>
    <x v="0"/>
  </r>
  <r>
    <n v="27000120"/>
    <x v="1"/>
    <x v="1"/>
    <n v="94.5"/>
    <s v="svoj"/>
    <b v="1"/>
    <s v=""/>
    <s v=""/>
    <b v="0"/>
    <s v=""/>
    <b v="0"/>
    <n v="94.5"/>
    <m/>
    <n v="102.5"/>
    <x v="6"/>
  </r>
  <r>
    <n v="27000121"/>
    <x v="1"/>
    <x v="0"/>
    <s v=""/>
    <s v=""/>
    <b v="0"/>
    <s v=""/>
    <s v=""/>
    <b v="0"/>
    <s v=""/>
    <b v="0"/>
    <n v="0"/>
    <m/>
    <n v="0"/>
    <x v="0"/>
  </r>
  <r>
    <n v="27000122"/>
    <x v="1"/>
    <x v="0"/>
    <s v=""/>
    <s v=""/>
    <b v="0"/>
    <s v=""/>
    <s v=""/>
    <b v="0"/>
    <s v=""/>
    <b v="0"/>
    <n v="0"/>
    <m/>
    <n v="0"/>
    <x v="0"/>
  </r>
  <r>
    <n v="27000123"/>
    <x v="1"/>
    <x v="0"/>
    <s v=""/>
    <s v=""/>
    <b v="0"/>
    <s v=""/>
    <s v=""/>
    <b v="0"/>
    <s v=""/>
    <b v="0"/>
    <n v="0"/>
    <m/>
    <n v="0"/>
    <x v="0"/>
  </r>
  <r>
    <n v="27000124"/>
    <x v="1"/>
    <x v="6"/>
    <n v="91.5"/>
    <s v="svoj"/>
    <b v="1"/>
    <s v=""/>
    <s v=""/>
    <b v="0"/>
    <s v=""/>
    <b v="0"/>
    <n v="91.5"/>
    <m/>
    <n v="100.5"/>
    <x v="6"/>
  </r>
  <r>
    <n v="27000125"/>
    <x v="1"/>
    <x v="8"/>
    <n v="71.5"/>
    <s v="šolski"/>
    <b v="1"/>
    <s v=""/>
    <s v=""/>
    <b v="0"/>
    <s v=""/>
    <b v="0"/>
    <n v="71.5"/>
    <m/>
    <n v="78.5"/>
    <x v="5"/>
  </r>
  <r>
    <n v="27000126"/>
    <x v="1"/>
    <x v="7"/>
    <n v="90.5"/>
    <s v="svoj"/>
    <b v="1"/>
    <s v=""/>
    <s v=""/>
    <b v="0"/>
    <s v=""/>
    <b v="0"/>
    <n v="90.5"/>
    <m/>
    <n v="100.5"/>
    <x v="6"/>
  </r>
  <r>
    <n v="27000127"/>
    <x v="1"/>
    <x v="8"/>
    <n v="91.5"/>
    <s v="šolski"/>
    <b v="1"/>
    <s v=""/>
    <s v=""/>
    <b v="0"/>
    <s v=""/>
    <b v="0"/>
    <n v="91.5"/>
    <m/>
    <n v="98.5"/>
    <x v="6"/>
  </r>
  <r>
    <n v="27000128"/>
    <x v="1"/>
    <x v="6"/>
    <n v="90"/>
    <s v="šolski"/>
    <b v="1"/>
    <s v=""/>
    <s v=""/>
    <b v="0"/>
    <s v=""/>
    <b v="0"/>
    <n v="90"/>
    <m/>
    <n v="99"/>
    <x v="6"/>
  </r>
  <r>
    <n v="27000129"/>
    <x v="1"/>
    <x v="0"/>
    <s v=""/>
    <s v=""/>
    <b v="0"/>
    <s v=""/>
    <s v=""/>
    <b v="0"/>
    <s v=""/>
    <b v="0"/>
    <n v="0"/>
    <m/>
    <n v="0"/>
    <x v="0"/>
  </r>
  <r>
    <n v="27000130"/>
    <x v="1"/>
    <x v="1"/>
    <s v=""/>
    <s v=""/>
    <b v="0"/>
    <s v=""/>
    <s v=""/>
    <b v="0"/>
    <s v=""/>
    <b v="0"/>
    <n v="0"/>
    <m/>
    <n v="8"/>
    <x v="2"/>
  </r>
  <r>
    <n v="27000131"/>
    <x v="1"/>
    <x v="0"/>
    <s v=""/>
    <s v=""/>
    <b v="0"/>
    <s v=""/>
    <s v=""/>
    <b v="0"/>
    <s v=""/>
    <b v="0"/>
    <n v="0"/>
    <m/>
    <n v="0"/>
    <x v="0"/>
  </r>
  <r>
    <n v="27000132"/>
    <x v="1"/>
    <x v="6"/>
    <n v="98.5"/>
    <s v="svoj"/>
    <b v="1"/>
    <s v=""/>
    <s v=""/>
    <b v="0"/>
    <s v=""/>
    <b v="0"/>
    <n v="98.5"/>
    <m/>
    <n v="107.5"/>
    <x v="6"/>
  </r>
  <r>
    <n v="27000133"/>
    <x v="1"/>
    <x v="0"/>
    <s v=""/>
    <s v=""/>
    <b v="0"/>
    <s v=""/>
    <s v=""/>
    <b v="0"/>
    <s v=""/>
    <b v="0"/>
    <n v="0"/>
    <m/>
    <n v="0"/>
    <x v="0"/>
  </r>
  <r>
    <n v="27000134"/>
    <x v="1"/>
    <x v="8"/>
    <n v="80"/>
    <s v="šolski"/>
    <b v="1"/>
    <s v=""/>
    <s v=""/>
    <b v="0"/>
    <s v=""/>
    <b v="0"/>
    <n v="80"/>
    <m/>
    <n v="87"/>
    <x v="1"/>
  </r>
  <r>
    <n v="27000135"/>
    <x v="2"/>
    <x v="3"/>
    <s v=""/>
    <s v=""/>
    <b v="0"/>
    <s v=""/>
    <s v=""/>
    <b v="0"/>
    <n v="39"/>
    <b v="1"/>
    <n v="39"/>
    <m/>
    <n v="44"/>
    <x v="2"/>
  </r>
  <r>
    <n v="27000136"/>
    <x v="1"/>
    <x v="8"/>
    <n v="72"/>
    <s v="svoj"/>
    <b v="1"/>
    <s v=""/>
    <s v=""/>
    <b v="0"/>
    <s v=""/>
    <b v="0"/>
    <n v="72"/>
    <m/>
    <n v="79"/>
    <x v="5"/>
  </r>
  <r>
    <n v="27000137"/>
    <x v="1"/>
    <x v="0"/>
    <s v=""/>
    <s v=""/>
    <b v="0"/>
    <s v=""/>
    <s v=""/>
    <b v="0"/>
    <s v=""/>
    <b v="0"/>
    <n v="0"/>
    <m/>
    <n v="0"/>
    <x v="0"/>
  </r>
  <r>
    <n v="27000138"/>
    <x v="1"/>
    <x v="0"/>
    <s v=""/>
    <s v=""/>
    <b v="0"/>
    <s v=""/>
    <s v=""/>
    <b v="0"/>
    <s v=""/>
    <b v="0"/>
    <n v="0"/>
    <m/>
    <n v="0"/>
    <x v="0"/>
  </r>
  <r>
    <n v="27000139"/>
    <x v="1"/>
    <x v="0"/>
    <s v=""/>
    <s v=""/>
    <b v="0"/>
    <s v=""/>
    <s v=""/>
    <b v="0"/>
    <s v=""/>
    <b v="0"/>
    <n v="0"/>
    <m/>
    <n v="0"/>
    <x v="0"/>
  </r>
  <r>
    <n v="27000140"/>
    <x v="1"/>
    <x v="0"/>
    <s v=""/>
    <s v=""/>
    <b v="0"/>
    <s v=""/>
    <s v=""/>
    <b v="0"/>
    <s v=""/>
    <b v="0"/>
    <n v="0"/>
    <m/>
    <n v="0"/>
    <x v="0"/>
  </r>
  <r>
    <n v="27000141"/>
    <x v="1"/>
    <x v="6"/>
    <n v="86.5"/>
    <s v="svoj"/>
    <b v="1"/>
    <s v=""/>
    <s v=""/>
    <b v="0"/>
    <s v=""/>
    <b v="0"/>
    <n v="86.5"/>
    <m/>
    <n v="95.5"/>
    <x v="6"/>
  </r>
  <r>
    <n v="27000142"/>
    <x v="1"/>
    <x v="0"/>
    <s v=""/>
    <s v=""/>
    <b v="0"/>
    <s v=""/>
    <s v=""/>
    <b v="0"/>
    <s v=""/>
    <b v="0"/>
    <n v="0"/>
    <m/>
    <n v="0"/>
    <x v="0"/>
  </r>
  <r>
    <n v="27000143"/>
    <x v="1"/>
    <x v="0"/>
    <s v=""/>
    <s v=""/>
    <b v="0"/>
    <s v=""/>
    <s v=""/>
    <b v="0"/>
    <s v=""/>
    <b v="0"/>
    <n v="0"/>
    <m/>
    <n v="0"/>
    <x v="0"/>
  </r>
  <r>
    <n v="27000144"/>
    <x v="1"/>
    <x v="1"/>
    <n v="76.5"/>
    <s v="svoj"/>
    <b v="1"/>
    <s v=""/>
    <s v=""/>
    <b v="0"/>
    <s v=""/>
    <b v="0"/>
    <n v="76.5"/>
    <m/>
    <n v="84.5"/>
    <x v="1"/>
  </r>
  <r>
    <n v="27000145"/>
    <x v="1"/>
    <x v="0"/>
    <s v=""/>
    <s v=""/>
    <b v="0"/>
    <s v=""/>
    <s v=""/>
    <b v="0"/>
    <s v=""/>
    <b v="0"/>
    <n v="0"/>
    <m/>
    <n v="0"/>
    <x v="0"/>
  </r>
  <r>
    <n v="27000146"/>
    <x v="1"/>
    <x v="4"/>
    <n v="70.5"/>
    <s v="šolski"/>
    <b v="1"/>
    <s v=""/>
    <s v=""/>
    <b v="0"/>
    <s v=""/>
    <b v="0"/>
    <n v="70.5"/>
    <m/>
    <n v="76.5"/>
    <x v="5"/>
  </r>
  <r>
    <n v="27000147"/>
    <x v="1"/>
    <x v="0"/>
    <s v=""/>
    <s v=""/>
    <b v="0"/>
    <s v=""/>
    <s v=""/>
    <b v="0"/>
    <s v=""/>
    <b v="0"/>
    <n v="0"/>
    <m/>
    <n v="0"/>
    <x v="0"/>
  </r>
  <r>
    <n v="27000148"/>
    <x v="1"/>
    <x v="6"/>
    <n v="95.5"/>
    <s v="šolski"/>
    <b v="1"/>
    <s v=""/>
    <s v=""/>
    <b v="0"/>
    <s v=""/>
    <b v="0"/>
    <n v="95.5"/>
    <m/>
    <n v="104.5"/>
    <x v="6"/>
  </r>
  <r>
    <n v="27000149"/>
    <x v="1"/>
    <x v="1"/>
    <n v="80"/>
    <s v="svoj"/>
    <b v="1"/>
    <s v=""/>
    <s v=""/>
    <b v="0"/>
    <s v=""/>
    <b v="0"/>
    <n v="80"/>
    <m/>
    <n v="88"/>
    <x v="1"/>
  </r>
  <r>
    <n v="27000150"/>
    <x v="1"/>
    <x v="0"/>
    <s v=""/>
    <s v=""/>
    <b v="0"/>
    <s v=""/>
    <s v=""/>
    <b v="0"/>
    <s v=""/>
    <b v="0"/>
    <n v="0"/>
    <m/>
    <n v="0"/>
    <x v="0"/>
  </r>
  <r>
    <n v="27000151"/>
    <x v="1"/>
    <x v="0"/>
    <s v=""/>
    <s v=""/>
    <b v="0"/>
    <s v=""/>
    <s v=""/>
    <b v="0"/>
    <s v=""/>
    <b v="0"/>
    <n v="0"/>
    <m/>
    <n v="0"/>
    <x v="0"/>
  </r>
  <r>
    <n v="27000152"/>
    <x v="1"/>
    <x v="1"/>
    <n v="85.5"/>
    <s v="šolski"/>
    <b v="1"/>
    <s v=""/>
    <s v=""/>
    <b v="0"/>
    <s v=""/>
    <b v="0"/>
    <n v="85.5"/>
    <m/>
    <n v="93.5"/>
    <x v="6"/>
  </r>
  <r>
    <n v="27000153"/>
    <x v="1"/>
    <x v="0"/>
    <s v=""/>
    <s v=""/>
    <b v="0"/>
    <s v=""/>
    <s v=""/>
    <b v="0"/>
    <s v=""/>
    <b v="0"/>
    <n v="0"/>
    <m/>
    <n v="0"/>
    <x v="0"/>
  </r>
  <r>
    <n v="27000154"/>
    <x v="1"/>
    <x v="1"/>
    <n v="95"/>
    <s v="svoj"/>
    <b v="1"/>
    <s v=""/>
    <s v=""/>
    <b v="0"/>
    <s v=""/>
    <b v="0"/>
    <n v="95"/>
    <m/>
    <n v="103"/>
    <x v="6"/>
  </r>
  <r>
    <n v="27000155"/>
    <x v="1"/>
    <x v="4"/>
    <n v="54"/>
    <s v="šolski"/>
    <b v="1"/>
    <s v=""/>
    <s v=""/>
    <b v="0"/>
    <s v=""/>
    <b v="0"/>
    <n v="54"/>
    <m/>
    <n v="60"/>
    <x v="4"/>
  </r>
  <r>
    <n v="27000156"/>
    <x v="1"/>
    <x v="7"/>
    <n v="91.5"/>
    <s v="svoj"/>
    <b v="1"/>
    <s v=""/>
    <s v=""/>
    <b v="0"/>
    <s v=""/>
    <b v="0"/>
    <n v="91.5"/>
    <m/>
    <n v="101.5"/>
    <x v="6"/>
  </r>
  <r>
    <n v="27000157"/>
    <x v="1"/>
    <x v="0"/>
    <s v=""/>
    <s v=""/>
    <b v="0"/>
    <s v=""/>
    <s v=""/>
    <b v="0"/>
    <s v=""/>
    <b v="0"/>
    <n v="0"/>
    <m/>
    <n v="0"/>
    <x v="0"/>
  </r>
  <r>
    <n v="27000158"/>
    <x v="1"/>
    <x v="0"/>
    <s v=""/>
    <s v=""/>
    <b v="0"/>
    <s v=""/>
    <s v=""/>
    <b v="0"/>
    <s v=""/>
    <b v="0"/>
    <n v="0"/>
    <m/>
    <n v="0"/>
    <x v="0"/>
  </r>
  <r>
    <n v="27000159"/>
    <x v="1"/>
    <x v="1"/>
    <n v="0"/>
    <s v="svoj"/>
    <b v="1"/>
    <s v=""/>
    <s v=""/>
    <b v="0"/>
    <s v=""/>
    <b v="0"/>
    <n v="0"/>
    <m/>
    <n v="8"/>
    <x v="2"/>
  </r>
  <r>
    <n v="27000160"/>
    <x v="1"/>
    <x v="6"/>
    <n v="83.5"/>
    <s v="šolski"/>
    <b v="1"/>
    <s v=""/>
    <s v=""/>
    <b v="0"/>
    <s v=""/>
    <b v="0"/>
    <n v="83.5"/>
    <m/>
    <n v="92.5"/>
    <x v="6"/>
  </r>
  <r>
    <n v="27000161"/>
    <x v="1"/>
    <x v="0"/>
    <s v=""/>
    <s v=""/>
    <b v="0"/>
    <s v=""/>
    <s v=""/>
    <b v="0"/>
    <s v=""/>
    <b v="0"/>
    <n v="0"/>
    <m/>
    <n v="0"/>
    <x v="0"/>
  </r>
  <r>
    <n v="27000162"/>
    <x v="1"/>
    <x v="1"/>
    <n v="65.5"/>
    <s v="svoj"/>
    <b v="1"/>
    <s v=""/>
    <s v=""/>
    <b v="0"/>
    <s v=""/>
    <b v="0"/>
    <n v="65.5"/>
    <m/>
    <n v="73.5"/>
    <x v="5"/>
  </r>
  <r>
    <n v="27000163"/>
    <x v="1"/>
    <x v="1"/>
    <n v="51.5"/>
    <s v="svoj"/>
    <b v="1"/>
    <s v=""/>
    <s v=""/>
    <b v="0"/>
    <s v=""/>
    <b v="0"/>
    <n v="51.5"/>
    <m/>
    <n v="59.5"/>
    <x v="3"/>
  </r>
  <r>
    <n v="27000164"/>
    <x v="1"/>
    <x v="6"/>
    <n v="92"/>
    <s v="šolski"/>
    <b v="1"/>
    <s v=""/>
    <s v=""/>
    <b v="0"/>
    <s v=""/>
    <b v="0"/>
    <n v="92"/>
    <m/>
    <n v="101"/>
    <x v="6"/>
  </r>
  <r>
    <n v="27000165"/>
    <x v="1"/>
    <x v="8"/>
    <n v="70"/>
    <s v="šolski"/>
    <b v="1"/>
    <s v=""/>
    <s v=""/>
    <b v="0"/>
    <s v=""/>
    <b v="0"/>
    <n v="70"/>
    <m/>
    <n v="77"/>
    <x v="5"/>
  </r>
  <r>
    <n v="27000166"/>
    <x v="1"/>
    <x v="6"/>
    <n v="95"/>
    <s v="šolski"/>
    <b v="1"/>
    <s v=""/>
    <s v=""/>
    <b v="0"/>
    <s v=""/>
    <b v="0"/>
    <n v="95"/>
    <m/>
    <n v="104"/>
    <x v="6"/>
  </r>
  <r>
    <n v="27000167"/>
    <x v="1"/>
    <x v="8"/>
    <n v="72"/>
    <s v="svoj"/>
    <b v="1"/>
    <s v=""/>
    <s v=""/>
    <b v="0"/>
    <s v=""/>
    <b v="0"/>
    <n v="72"/>
    <m/>
    <n v="79"/>
    <x v="5"/>
  </r>
  <r>
    <n v="27000168"/>
    <x v="1"/>
    <x v="0"/>
    <s v=""/>
    <s v=""/>
    <b v="0"/>
    <s v=""/>
    <s v=""/>
    <b v="0"/>
    <s v=""/>
    <b v="0"/>
    <n v="0"/>
    <m/>
    <n v="0"/>
    <x v="0"/>
  </r>
  <r>
    <n v="27000169"/>
    <x v="1"/>
    <x v="0"/>
    <s v=""/>
    <s v=""/>
    <b v="0"/>
    <s v=""/>
    <s v=""/>
    <b v="0"/>
    <s v=""/>
    <b v="0"/>
    <n v="0"/>
    <m/>
    <n v="0"/>
    <x v="0"/>
  </r>
  <r>
    <n v="27000170"/>
    <x v="1"/>
    <x v="0"/>
    <s v=""/>
    <s v=""/>
    <b v="0"/>
    <s v=""/>
    <s v=""/>
    <b v="0"/>
    <s v=""/>
    <b v="0"/>
    <n v="0"/>
    <m/>
    <n v="0"/>
    <x v="0"/>
  </r>
  <r>
    <n v="27000171"/>
    <x v="1"/>
    <x v="1"/>
    <n v="53"/>
    <s v="šolski"/>
    <b v="1"/>
    <s v=""/>
    <s v=""/>
    <b v="0"/>
    <s v=""/>
    <b v="0"/>
    <n v="53"/>
    <m/>
    <n v="61"/>
    <x v="4"/>
  </r>
  <r>
    <n v="27000172"/>
    <x v="1"/>
    <x v="0"/>
    <s v=""/>
    <s v=""/>
    <b v="0"/>
    <s v=""/>
    <s v=""/>
    <b v="0"/>
    <s v=""/>
    <b v="0"/>
    <n v="0"/>
    <m/>
    <n v="0"/>
    <x v="0"/>
  </r>
  <r>
    <n v="27000173"/>
    <x v="1"/>
    <x v="6"/>
    <n v="91"/>
    <s v="svoj"/>
    <b v="1"/>
    <s v=""/>
    <s v=""/>
    <b v="0"/>
    <s v=""/>
    <b v="0"/>
    <n v="91"/>
    <m/>
    <n v="100"/>
    <x v="6"/>
  </r>
  <r>
    <n v="27000174"/>
    <x v="1"/>
    <x v="0"/>
    <s v=""/>
    <s v=""/>
    <b v="0"/>
    <s v=""/>
    <s v=""/>
    <b v="0"/>
    <s v=""/>
    <b v="0"/>
    <n v="0"/>
    <m/>
    <n v="0"/>
    <x v="0"/>
  </r>
  <r>
    <n v="27000175"/>
    <x v="1"/>
    <x v="3"/>
    <s v=""/>
    <s v=""/>
    <b v="0"/>
    <s v=""/>
    <s v=""/>
    <b v="0"/>
    <s v=""/>
    <b v="0"/>
    <n v="0"/>
    <m/>
    <n v="5"/>
    <x v="2"/>
  </r>
  <r>
    <n v="27000176"/>
    <x v="1"/>
    <x v="1"/>
    <n v="70"/>
    <s v="šolski"/>
    <b v="1"/>
    <s v=""/>
    <s v=""/>
    <b v="0"/>
    <s v=""/>
    <b v="0"/>
    <n v="70"/>
    <m/>
    <n v="78"/>
    <x v="5"/>
  </r>
  <r>
    <n v="27000177"/>
    <x v="1"/>
    <x v="6"/>
    <n v="93"/>
    <s v="šolski"/>
    <b v="1"/>
    <s v=""/>
    <s v=""/>
    <b v="0"/>
    <s v=""/>
    <b v="0"/>
    <n v="93"/>
    <m/>
    <n v="102"/>
    <x v="6"/>
  </r>
  <r>
    <n v="27000178"/>
    <x v="1"/>
    <x v="0"/>
    <s v=""/>
    <s v=""/>
    <b v="0"/>
    <s v=""/>
    <s v=""/>
    <b v="0"/>
    <s v=""/>
    <b v="0"/>
    <n v="0"/>
    <m/>
    <n v="0"/>
    <x v="0"/>
  </r>
  <r>
    <n v="27000179"/>
    <x v="1"/>
    <x v="1"/>
    <n v="80"/>
    <s v="šolski"/>
    <b v="1"/>
    <s v=""/>
    <s v=""/>
    <b v="0"/>
    <s v=""/>
    <b v="0"/>
    <n v="80"/>
    <m/>
    <n v="88"/>
    <x v="1"/>
  </r>
  <r>
    <n v="27000180"/>
    <x v="1"/>
    <x v="0"/>
    <s v=""/>
    <s v=""/>
    <b v="0"/>
    <s v=""/>
    <s v=""/>
    <b v="0"/>
    <s v=""/>
    <b v="0"/>
    <n v="0"/>
    <m/>
    <n v="0"/>
    <x v="0"/>
  </r>
  <r>
    <n v="27000181"/>
    <x v="1"/>
    <x v="8"/>
    <n v="65.5"/>
    <s v="svoj"/>
    <b v="1"/>
    <s v=""/>
    <s v=""/>
    <b v="0"/>
    <s v=""/>
    <b v="0"/>
    <n v="65.5"/>
    <m/>
    <n v="72.5"/>
    <x v="5"/>
  </r>
  <r>
    <n v="27000182"/>
    <x v="1"/>
    <x v="1"/>
    <n v="60"/>
    <s v="šolski"/>
    <b v="1"/>
    <s v=""/>
    <s v=""/>
    <b v="0"/>
    <s v=""/>
    <b v="0"/>
    <n v="60"/>
    <m/>
    <n v="68"/>
    <x v="4"/>
  </r>
  <r>
    <n v="27000183"/>
    <x v="1"/>
    <x v="0"/>
    <s v=""/>
    <s v=""/>
    <b v="0"/>
    <s v=""/>
    <s v=""/>
    <b v="0"/>
    <s v=""/>
    <b v="0"/>
    <n v="0"/>
    <m/>
    <n v="0"/>
    <x v="0"/>
  </r>
  <r>
    <n v="27000184"/>
    <x v="1"/>
    <x v="0"/>
    <s v=""/>
    <s v=""/>
    <b v="0"/>
    <s v=""/>
    <s v=""/>
    <b v="0"/>
    <s v=""/>
    <b v="0"/>
    <n v="0"/>
    <m/>
    <n v="0"/>
    <x v="0"/>
  </r>
  <r>
    <n v="27000185"/>
    <x v="1"/>
    <x v="1"/>
    <s v=""/>
    <s v=""/>
    <b v="0"/>
    <s v=""/>
    <s v=""/>
    <b v="0"/>
    <s v=""/>
    <b v="0"/>
    <n v="0"/>
    <m/>
    <n v="8"/>
    <x v="2"/>
  </r>
  <r>
    <n v="27000186"/>
    <x v="1"/>
    <x v="0"/>
    <s v=""/>
    <s v=""/>
    <b v="0"/>
    <s v=""/>
    <s v=""/>
    <b v="0"/>
    <s v=""/>
    <b v="0"/>
    <n v="0"/>
    <m/>
    <n v="0"/>
    <x v="0"/>
  </r>
  <r>
    <n v="27000187"/>
    <x v="1"/>
    <x v="6"/>
    <n v="94"/>
    <s v="svoj"/>
    <b v="1"/>
    <s v=""/>
    <s v=""/>
    <b v="0"/>
    <s v=""/>
    <b v="0"/>
    <n v="94"/>
    <m/>
    <n v="103"/>
    <x v="6"/>
  </r>
  <r>
    <n v="27000188"/>
    <x v="1"/>
    <x v="1"/>
    <s v=""/>
    <s v=""/>
    <b v="0"/>
    <s v=""/>
    <s v=""/>
    <b v="0"/>
    <s v=""/>
    <b v="0"/>
    <n v="0"/>
    <m/>
    <n v="8"/>
    <x v="2"/>
  </r>
  <r>
    <n v="27000189"/>
    <x v="1"/>
    <x v="1"/>
    <n v="74"/>
    <s v="svoj"/>
    <b v="1"/>
    <s v=""/>
    <s v=""/>
    <b v="0"/>
    <s v=""/>
    <b v="0"/>
    <n v="74"/>
    <m/>
    <n v="82"/>
    <x v="1"/>
  </r>
  <r>
    <n v="27000190"/>
    <x v="1"/>
    <x v="6"/>
    <n v="90"/>
    <s v="svoj"/>
    <b v="1"/>
    <s v=""/>
    <s v=""/>
    <b v="0"/>
    <s v=""/>
    <b v="0"/>
    <n v="90"/>
    <m/>
    <n v="99"/>
    <x v="6"/>
  </r>
  <r>
    <n v="27000191"/>
    <x v="1"/>
    <x v="1"/>
    <n v="0"/>
    <s v="šolski"/>
    <b v="1"/>
    <n v="60"/>
    <s v="šolski"/>
    <b v="1"/>
    <s v=""/>
    <b v="0"/>
    <n v="60"/>
    <m/>
    <n v="68"/>
    <x v="4"/>
  </r>
  <r>
    <n v="27000192"/>
    <x v="1"/>
    <x v="4"/>
    <n v="0"/>
    <s v="šolski"/>
    <b v="1"/>
    <n v="70"/>
    <s v="šolski"/>
    <b v="1"/>
    <s v=""/>
    <b v="0"/>
    <n v="70"/>
    <m/>
    <n v="76"/>
    <x v="5"/>
  </r>
  <r>
    <n v="27000193"/>
    <x v="1"/>
    <x v="8"/>
    <n v="0"/>
    <s v="svoj"/>
    <b v="1"/>
    <n v="55"/>
    <s v="šolski"/>
    <b v="1"/>
    <s v=""/>
    <b v="0"/>
    <n v="55"/>
    <m/>
    <n v="62"/>
    <x v="4"/>
  </r>
  <r>
    <n v="27000194"/>
    <x v="1"/>
    <x v="6"/>
    <n v="36"/>
    <s v="šolski"/>
    <b v="1"/>
    <n v="70"/>
    <s v="šolski"/>
    <b v="1"/>
    <s v=""/>
    <b v="0"/>
    <n v="70"/>
    <m/>
    <n v="79"/>
    <x v="5"/>
  </r>
  <r>
    <n v="27000195"/>
    <x v="1"/>
    <x v="6"/>
    <s v=""/>
    <s v=""/>
    <b v="0"/>
    <n v="81"/>
    <s v="šolski"/>
    <b v="1"/>
    <s v=""/>
    <b v="0"/>
    <n v="81"/>
    <m/>
    <n v="90"/>
    <x v="6"/>
  </r>
  <r>
    <n v="27000196"/>
    <x v="1"/>
    <x v="1"/>
    <n v="72.5"/>
    <s v="šolski"/>
    <b v="1"/>
    <n v="0"/>
    <s v="šolski"/>
    <b v="1"/>
    <s v=""/>
    <b v="0"/>
    <n v="72.5"/>
    <m/>
    <n v="80.5"/>
    <x v="1"/>
  </r>
  <r>
    <n v="27000197"/>
    <x v="1"/>
    <x v="1"/>
    <s v=""/>
    <s v=""/>
    <b v="0"/>
    <n v="0"/>
    <s v="šolski"/>
    <b v="1"/>
    <s v=""/>
    <b v="0"/>
    <n v="0"/>
    <m/>
    <n v="8"/>
    <x v="2"/>
  </r>
  <r>
    <n v="27000198"/>
    <x v="1"/>
    <x v="1"/>
    <s v=""/>
    <s v=""/>
    <b v="0"/>
    <n v="93"/>
    <s v="svoj"/>
    <b v="1"/>
    <s v=""/>
    <b v="0"/>
    <n v="93"/>
    <m/>
    <n v="101"/>
    <x v="6"/>
  </r>
  <r>
    <n v="27000199"/>
    <x v="1"/>
    <x v="1"/>
    <s v=""/>
    <s v=""/>
    <b v="0"/>
    <n v="61"/>
    <s v="svoj"/>
    <b v="1"/>
    <s v=""/>
    <b v="0"/>
    <n v="61"/>
    <m/>
    <n v="69"/>
    <x v="4"/>
  </r>
  <r>
    <n v="27000200"/>
    <x v="1"/>
    <x v="6"/>
    <s v=""/>
    <s v=""/>
    <b v="0"/>
    <n v="42"/>
    <s v="svoj"/>
    <b v="1"/>
    <s v=""/>
    <b v="0"/>
    <n v="42"/>
    <m/>
    <n v="51"/>
    <x v="3"/>
  </r>
  <r>
    <n v="27000201"/>
    <x v="1"/>
    <x v="4"/>
    <n v="24"/>
    <s v="svoj"/>
    <b v="1"/>
    <n v="64"/>
    <s v="svoj"/>
    <b v="1"/>
    <s v=""/>
    <b v="0"/>
    <n v="64"/>
    <m/>
    <n v="70"/>
    <x v="5"/>
  </r>
  <r>
    <n v="27000202"/>
    <x v="1"/>
    <x v="1"/>
    <s v=""/>
    <s v=""/>
    <b v="0"/>
    <n v="77"/>
    <s v="svoj"/>
    <b v="1"/>
    <s v=""/>
    <b v="0"/>
    <n v="77"/>
    <m/>
    <n v="85"/>
    <x v="1"/>
  </r>
  <r>
    <n v="27000203"/>
    <x v="1"/>
    <x v="6"/>
    <n v="62"/>
    <s v="svoj"/>
    <b v="1"/>
    <n v="72"/>
    <s v="svoj"/>
    <b v="1"/>
    <s v=""/>
    <b v="0"/>
    <n v="72"/>
    <m/>
    <n v="81"/>
    <x v="1"/>
  </r>
  <r>
    <n v="27000204"/>
    <x v="1"/>
    <x v="8"/>
    <s v=""/>
    <s v=""/>
    <b v="0"/>
    <n v="61"/>
    <s v="svoj"/>
    <b v="1"/>
    <s v=""/>
    <b v="0"/>
    <n v="61"/>
    <m/>
    <n v="68"/>
    <x v="4"/>
  </r>
  <r>
    <n v="27000205"/>
    <x v="1"/>
    <x v="6"/>
    <n v="0"/>
    <s v="svoj"/>
    <b v="1"/>
    <n v="62"/>
    <s v="svoj"/>
    <b v="1"/>
    <s v=""/>
    <b v="0"/>
    <n v="62"/>
    <m/>
    <n v="71"/>
    <x v="5"/>
  </r>
  <r>
    <n v="27000206"/>
    <x v="1"/>
    <x v="2"/>
    <s v=""/>
    <s v=""/>
    <b v="0"/>
    <n v="70"/>
    <s v="svoj"/>
    <b v="1"/>
    <s v=""/>
    <b v="0"/>
    <n v="70"/>
    <m/>
    <n v="74"/>
    <x v="5"/>
  </r>
  <r>
    <n v="27000207"/>
    <x v="1"/>
    <x v="1"/>
    <s v=""/>
    <s v=""/>
    <b v="0"/>
    <n v="60"/>
    <s v="svoj"/>
    <b v="1"/>
    <s v=""/>
    <b v="0"/>
    <n v="60"/>
    <m/>
    <n v="68"/>
    <x v="4"/>
  </r>
  <r>
    <n v="27000208"/>
    <x v="1"/>
    <x v="0"/>
    <n v="75.5"/>
    <s v="svoj"/>
    <b v="1"/>
    <n v="0"/>
    <s v="svoj"/>
    <b v="1"/>
    <s v=""/>
    <b v="0"/>
    <n v="75.5"/>
    <m/>
    <n v="75.5"/>
    <x v="5"/>
  </r>
  <r>
    <n v="27000209"/>
    <x v="2"/>
    <x v="0"/>
    <s v=""/>
    <s v=""/>
    <b v="0"/>
    <s v=""/>
    <s v=""/>
    <b v="0"/>
    <s v=""/>
    <b v="0"/>
    <n v="0"/>
    <m/>
    <n v="0"/>
    <x v="0"/>
  </r>
  <r>
    <n v="27000210"/>
    <x v="2"/>
    <x v="1"/>
    <n v="0"/>
    <s v="šolski"/>
    <b v="1"/>
    <s v=""/>
    <s v=""/>
    <b v="0"/>
    <s v=""/>
    <b v="0"/>
    <n v="0"/>
    <m/>
    <n v="8"/>
    <x v="2"/>
  </r>
  <r>
    <n v="27000211"/>
    <x v="2"/>
    <x v="1"/>
    <n v="95.5"/>
    <s v="svoj"/>
    <b v="1"/>
    <s v=""/>
    <s v=""/>
    <b v="0"/>
    <s v=""/>
    <b v="0"/>
    <n v="95.5"/>
    <m/>
    <n v="103.5"/>
    <x v="6"/>
  </r>
  <r>
    <n v="27000212"/>
    <x v="2"/>
    <x v="1"/>
    <n v="65.5"/>
    <s v="šolski"/>
    <b v="1"/>
    <s v=""/>
    <s v=""/>
    <b v="0"/>
    <s v=""/>
    <b v="0"/>
    <n v="65.5"/>
    <m/>
    <n v="73.5"/>
    <x v="5"/>
  </r>
  <r>
    <n v="27000213"/>
    <x v="2"/>
    <x v="1"/>
    <n v="96"/>
    <s v="šolski"/>
    <b v="1"/>
    <s v=""/>
    <s v=""/>
    <b v="0"/>
    <s v=""/>
    <b v="0"/>
    <n v="96"/>
    <m/>
    <n v="104"/>
    <x v="6"/>
  </r>
  <r>
    <n v="27000214"/>
    <x v="2"/>
    <x v="2"/>
    <s v=""/>
    <s v=""/>
    <b v="0"/>
    <s v=""/>
    <s v=""/>
    <b v="0"/>
    <s v=""/>
    <b v="0"/>
    <n v="0"/>
    <m/>
    <n v="4"/>
    <x v="2"/>
  </r>
  <r>
    <n v="27000215"/>
    <x v="2"/>
    <x v="0"/>
    <s v=""/>
    <s v=""/>
    <b v="0"/>
    <s v=""/>
    <s v=""/>
    <b v="0"/>
    <s v=""/>
    <b v="0"/>
    <n v="0"/>
    <m/>
    <n v="0"/>
    <x v="0"/>
  </r>
  <r>
    <n v="27000216"/>
    <x v="2"/>
    <x v="6"/>
    <n v="90"/>
    <s v="svoj"/>
    <b v="1"/>
    <s v=""/>
    <s v=""/>
    <b v="0"/>
    <s v=""/>
    <b v="0"/>
    <n v="90"/>
    <m/>
    <n v="99"/>
    <x v="6"/>
  </r>
  <r>
    <n v="27000217"/>
    <x v="2"/>
    <x v="1"/>
    <n v="98"/>
    <s v="svoj"/>
    <b v="1"/>
    <s v=""/>
    <s v=""/>
    <b v="0"/>
    <s v=""/>
    <b v="0"/>
    <n v="98"/>
    <m/>
    <n v="106"/>
    <x v="6"/>
  </r>
  <r>
    <n v="27000218"/>
    <x v="2"/>
    <x v="0"/>
    <s v=""/>
    <s v=""/>
    <b v="0"/>
    <s v=""/>
    <s v=""/>
    <b v="0"/>
    <s v=""/>
    <b v="0"/>
    <n v="0"/>
    <m/>
    <n v="0"/>
    <x v="0"/>
  </r>
  <r>
    <n v="27000219"/>
    <x v="2"/>
    <x v="0"/>
    <s v=""/>
    <s v=""/>
    <b v="0"/>
    <s v=""/>
    <s v=""/>
    <b v="0"/>
    <s v=""/>
    <b v="0"/>
    <n v="0"/>
    <m/>
    <n v="0"/>
    <x v="0"/>
  </r>
  <r>
    <n v="27000220"/>
    <x v="2"/>
    <x v="0"/>
    <s v=""/>
    <s v=""/>
    <b v="0"/>
    <s v=""/>
    <s v=""/>
    <b v="0"/>
    <s v=""/>
    <b v="0"/>
    <n v="0"/>
    <m/>
    <n v="0"/>
    <x v="0"/>
  </r>
  <r>
    <n v="27000221"/>
    <x v="2"/>
    <x v="8"/>
    <n v="60"/>
    <s v="šolski"/>
    <b v="1"/>
    <s v=""/>
    <s v=""/>
    <b v="0"/>
    <s v=""/>
    <b v="0"/>
    <n v="60"/>
    <m/>
    <n v="67"/>
    <x v="4"/>
  </r>
  <r>
    <n v="27000222"/>
    <x v="2"/>
    <x v="0"/>
    <s v=""/>
    <s v=""/>
    <b v="0"/>
    <s v=""/>
    <s v=""/>
    <b v="0"/>
    <s v=""/>
    <b v="0"/>
    <n v="0"/>
    <m/>
    <n v="0"/>
    <x v="0"/>
  </r>
  <r>
    <n v="27000223"/>
    <x v="2"/>
    <x v="6"/>
    <n v="97.5"/>
    <s v="svoj"/>
    <b v="1"/>
    <s v=""/>
    <s v=""/>
    <b v="0"/>
    <s v=""/>
    <b v="0"/>
    <n v="97.5"/>
    <m/>
    <n v="106.5"/>
    <x v="6"/>
  </r>
  <r>
    <n v="27000224"/>
    <x v="2"/>
    <x v="0"/>
    <s v=""/>
    <s v=""/>
    <b v="0"/>
    <s v=""/>
    <s v=""/>
    <b v="0"/>
    <s v=""/>
    <b v="0"/>
    <n v="0"/>
    <m/>
    <n v="0"/>
    <x v="0"/>
  </r>
  <r>
    <n v="27000225"/>
    <x v="2"/>
    <x v="6"/>
    <n v="97"/>
    <s v="svoj"/>
    <b v="1"/>
    <s v=""/>
    <s v=""/>
    <b v="0"/>
    <s v=""/>
    <b v="0"/>
    <n v="97"/>
    <m/>
    <n v="106"/>
    <x v="6"/>
  </r>
  <r>
    <n v="27000226"/>
    <x v="2"/>
    <x v="8"/>
    <n v="80"/>
    <s v="šolski"/>
    <b v="1"/>
    <s v=""/>
    <s v=""/>
    <b v="0"/>
    <s v=""/>
    <b v="0"/>
    <n v="80"/>
    <m/>
    <n v="87"/>
    <x v="1"/>
  </r>
  <r>
    <n v="27000227"/>
    <x v="2"/>
    <x v="1"/>
    <n v="62"/>
    <s v="šolski"/>
    <b v="1"/>
    <s v=""/>
    <s v=""/>
    <b v="0"/>
    <s v=""/>
    <b v="0"/>
    <n v="62"/>
    <m/>
    <n v="70"/>
    <x v="5"/>
  </r>
  <r>
    <n v="27000228"/>
    <x v="2"/>
    <x v="0"/>
    <s v=""/>
    <s v=""/>
    <b v="0"/>
    <s v=""/>
    <s v=""/>
    <b v="0"/>
    <s v=""/>
    <b v="0"/>
    <n v="0"/>
    <m/>
    <n v="0"/>
    <x v="0"/>
  </r>
  <r>
    <n v="27000229"/>
    <x v="2"/>
    <x v="0"/>
    <s v=""/>
    <s v=""/>
    <b v="0"/>
    <s v=""/>
    <s v=""/>
    <b v="0"/>
    <s v=""/>
    <b v="0"/>
    <n v="0"/>
    <m/>
    <n v="0"/>
    <x v="0"/>
  </r>
  <r>
    <n v="27000230"/>
    <x v="2"/>
    <x v="6"/>
    <n v="92"/>
    <s v="šolski"/>
    <b v="1"/>
    <s v=""/>
    <s v=""/>
    <b v="0"/>
    <s v=""/>
    <b v="0"/>
    <n v="92"/>
    <m/>
    <n v="101"/>
    <x v="6"/>
  </r>
  <r>
    <n v="27000231"/>
    <x v="2"/>
    <x v="1"/>
    <n v="98.5"/>
    <s v="svoj"/>
    <b v="1"/>
    <s v=""/>
    <s v=""/>
    <b v="0"/>
    <s v=""/>
    <b v="0"/>
    <n v="98.5"/>
    <m/>
    <n v="106.5"/>
    <x v="6"/>
  </r>
  <r>
    <n v="27000232"/>
    <x v="2"/>
    <x v="8"/>
    <n v="0"/>
    <s v="svoj"/>
    <b v="1"/>
    <s v=""/>
    <s v=""/>
    <b v="0"/>
    <s v=""/>
    <b v="0"/>
    <n v="0"/>
    <m/>
    <n v="7"/>
    <x v="2"/>
  </r>
  <r>
    <n v="27000233"/>
    <x v="2"/>
    <x v="0"/>
    <s v=""/>
    <s v=""/>
    <b v="0"/>
    <s v=""/>
    <s v=""/>
    <b v="0"/>
    <s v=""/>
    <b v="0"/>
    <n v="0"/>
    <m/>
    <n v="0"/>
    <x v="0"/>
  </r>
  <r>
    <n v="27000234"/>
    <x v="2"/>
    <x v="7"/>
    <n v="99"/>
    <s v="šolski"/>
    <b v="1"/>
    <s v=""/>
    <s v=""/>
    <b v="0"/>
    <s v=""/>
    <b v="0"/>
    <n v="99"/>
    <m/>
    <n v="109"/>
    <x v="6"/>
  </r>
  <r>
    <n v="27000235"/>
    <x v="2"/>
    <x v="0"/>
    <s v=""/>
    <s v=""/>
    <b v="0"/>
    <s v=""/>
    <s v=""/>
    <b v="0"/>
    <s v=""/>
    <b v="0"/>
    <n v="0"/>
    <m/>
    <n v="0"/>
    <x v="0"/>
  </r>
  <r>
    <n v="27000236"/>
    <x v="2"/>
    <x v="7"/>
    <n v="86.5"/>
    <s v="svoj"/>
    <b v="1"/>
    <s v=""/>
    <s v=""/>
    <b v="0"/>
    <s v=""/>
    <b v="0"/>
    <n v="86.5"/>
    <m/>
    <n v="96.5"/>
    <x v="6"/>
  </r>
  <r>
    <n v="27000237"/>
    <x v="2"/>
    <x v="1"/>
    <n v="80"/>
    <s v="šolski"/>
    <b v="1"/>
    <s v=""/>
    <s v=""/>
    <b v="0"/>
    <s v=""/>
    <b v="0"/>
    <n v="80"/>
    <m/>
    <n v="88"/>
    <x v="1"/>
  </r>
  <r>
    <n v="27000238"/>
    <x v="2"/>
    <x v="4"/>
    <n v="38.5"/>
    <s v="svoj"/>
    <b v="1"/>
    <s v=""/>
    <s v=""/>
    <b v="0"/>
    <s v=""/>
    <b v="0"/>
    <n v="38.5"/>
    <m/>
    <n v="44.5"/>
    <x v="2"/>
  </r>
  <r>
    <n v="27000239"/>
    <x v="2"/>
    <x v="1"/>
    <n v="95.5"/>
    <s v="šolski"/>
    <b v="1"/>
    <s v=""/>
    <s v=""/>
    <b v="0"/>
    <s v=""/>
    <b v="0"/>
    <n v="95.5"/>
    <m/>
    <n v="103.5"/>
    <x v="6"/>
  </r>
  <r>
    <n v="27000240"/>
    <x v="2"/>
    <x v="8"/>
    <n v="98"/>
    <s v="svoj"/>
    <b v="1"/>
    <s v=""/>
    <s v=""/>
    <b v="0"/>
    <s v=""/>
    <b v="0"/>
    <n v="98"/>
    <m/>
    <n v="105"/>
    <x v="6"/>
  </r>
  <r>
    <n v="27000241"/>
    <x v="2"/>
    <x v="0"/>
    <s v=""/>
    <s v=""/>
    <b v="0"/>
    <s v=""/>
    <s v=""/>
    <b v="0"/>
    <s v=""/>
    <b v="0"/>
    <n v="0"/>
    <m/>
    <n v="0"/>
    <x v="0"/>
  </r>
  <r>
    <n v="27000242"/>
    <x v="2"/>
    <x v="0"/>
    <s v=""/>
    <s v=""/>
    <b v="0"/>
    <s v=""/>
    <s v=""/>
    <b v="0"/>
    <s v=""/>
    <b v="0"/>
    <n v="0"/>
    <m/>
    <n v="0"/>
    <x v="0"/>
  </r>
  <r>
    <n v="27000243"/>
    <x v="2"/>
    <x v="0"/>
    <s v=""/>
    <s v=""/>
    <b v="0"/>
    <s v=""/>
    <s v=""/>
    <b v="0"/>
    <s v=""/>
    <b v="0"/>
    <n v="0"/>
    <m/>
    <n v="0"/>
    <x v="0"/>
  </r>
  <r>
    <n v="27000244"/>
    <x v="2"/>
    <x v="0"/>
    <s v=""/>
    <s v=""/>
    <b v="0"/>
    <s v=""/>
    <s v=""/>
    <b v="0"/>
    <s v=""/>
    <b v="0"/>
    <n v="0"/>
    <m/>
    <n v="0"/>
    <x v="0"/>
  </r>
  <r>
    <n v="27000245"/>
    <x v="2"/>
    <x v="1"/>
    <n v="93.5"/>
    <s v="svoj"/>
    <b v="1"/>
    <s v=""/>
    <s v=""/>
    <b v="0"/>
    <s v=""/>
    <b v="0"/>
    <n v="93.5"/>
    <m/>
    <n v="101.5"/>
    <x v="6"/>
  </r>
  <r>
    <n v="27000246"/>
    <x v="2"/>
    <x v="7"/>
    <n v="95"/>
    <s v="svoj"/>
    <b v="1"/>
    <s v=""/>
    <s v=""/>
    <b v="0"/>
    <s v=""/>
    <b v="0"/>
    <n v="95"/>
    <m/>
    <n v="105"/>
    <x v="6"/>
  </r>
  <r>
    <n v="27000247"/>
    <x v="2"/>
    <x v="7"/>
    <n v="99"/>
    <s v="svoj"/>
    <b v="1"/>
    <s v=""/>
    <s v=""/>
    <b v="0"/>
    <s v=""/>
    <b v="0"/>
    <n v="99"/>
    <m/>
    <n v="109"/>
    <x v="6"/>
  </r>
  <r>
    <n v="27000248"/>
    <x v="2"/>
    <x v="8"/>
    <n v="60"/>
    <s v="svoj"/>
    <b v="1"/>
    <s v=""/>
    <s v=""/>
    <b v="0"/>
    <s v=""/>
    <b v="0"/>
    <n v="60"/>
    <m/>
    <n v="67"/>
    <x v="4"/>
  </r>
  <r>
    <n v="27000249"/>
    <x v="2"/>
    <x v="0"/>
    <n v="11.5"/>
    <s v="svoj"/>
    <b v="1"/>
    <s v=""/>
    <s v=""/>
    <b v="0"/>
    <s v=""/>
    <b v="0"/>
    <n v="11.5"/>
    <m/>
    <n v="11.5"/>
    <x v="2"/>
  </r>
  <r>
    <n v="27000250"/>
    <x v="2"/>
    <x v="7"/>
    <n v="84"/>
    <s v="šolski"/>
    <b v="1"/>
    <s v=""/>
    <s v=""/>
    <b v="0"/>
    <s v=""/>
    <b v="0"/>
    <n v="84"/>
    <m/>
    <n v="94"/>
    <x v="6"/>
  </r>
  <r>
    <n v="27000251"/>
    <x v="2"/>
    <x v="7"/>
    <n v="99"/>
    <s v="svoj"/>
    <b v="1"/>
    <s v=""/>
    <s v=""/>
    <b v="0"/>
    <s v=""/>
    <b v="0"/>
    <n v="99"/>
    <m/>
    <n v="109"/>
    <x v="6"/>
  </r>
  <r>
    <n v="27000252"/>
    <x v="2"/>
    <x v="0"/>
    <s v=""/>
    <s v=""/>
    <b v="0"/>
    <s v=""/>
    <s v=""/>
    <b v="0"/>
    <s v=""/>
    <b v="0"/>
    <n v="0"/>
    <m/>
    <n v="0"/>
    <x v="0"/>
  </r>
  <r>
    <n v="27000253"/>
    <x v="2"/>
    <x v="0"/>
    <s v=""/>
    <s v=""/>
    <b v="0"/>
    <s v=""/>
    <s v=""/>
    <b v="0"/>
    <s v=""/>
    <b v="0"/>
    <n v="0"/>
    <m/>
    <n v="0"/>
    <x v="0"/>
  </r>
  <r>
    <n v="27000254"/>
    <x v="2"/>
    <x v="1"/>
    <n v="96.5"/>
    <s v="svoj"/>
    <b v="1"/>
    <s v=""/>
    <s v=""/>
    <b v="0"/>
    <s v=""/>
    <b v="0"/>
    <n v="96.5"/>
    <m/>
    <n v="104.5"/>
    <x v="6"/>
  </r>
  <r>
    <n v="27000255"/>
    <x v="2"/>
    <x v="6"/>
    <n v="87"/>
    <s v="šolski"/>
    <b v="1"/>
    <s v=""/>
    <s v=""/>
    <b v="0"/>
    <s v=""/>
    <b v="0"/>
    <n v="87"/>
    <m/>
    <n v="96"/>
    <x v="6"/>
  </r>
  <r>
    <n v="27000256"/>
    <x v="2"/>
    <x v="0"/>
    <s v=""/>
    <s v=""/>
    <b v="0"/>
    <s v=""/>
    <s v=""/>
    <b v="0"/>
    <s v=""/>
    <b v="0"/>
    <n v="0"/>
    <m/>
    <n v="0"/>
    <x v="0"/>
  </r>
  <r>
    <n v="27000257"/>
    <x v="2"/>
    <x v="6"/>
    <n v="63"/>
    <s v="svoj"/>
    <b v="1"/>
    <s v=""/>
    <s v=""/>
    <b v="0"/>
    <s v=""/>
    <b v="0"/>
    <n v="63"/>
    <m/>
    <n v="72"/>
    <x v="5"/>
  </r>
  <r>
    <n v="27000258"/>
    <x v="2"/>
    <x v="0"/>
    <s v=""/>
    <s v=""/>
    <b v="0"/>
    <s v=""/>
    <s v=""/>
    <b v="0"/>
    <s v=""/>
    <b v="0"/>
    <n v="0"/>
    <m/>
    <n v="0"/>
    <x v="0"/>
  </r>
  <r>
    <n v="27000259"/>
    <x v="2"/>
    <x v="8"/>
    <n v="61.5"/>
    <s v="svoj"/>
    <b v="1"/>
    <s v=""/>
    <s v=""/>
    <b v="0"/>
    <s v=""/>
    <b v="0"/>
    <n v="61.5"/>
    <m/>
    <n v="68.5"/>
    <x v="4"/>
  </r>
  <r>
    <n v="27000260"/>
    <x v="2"/>
    <x v="0"/>
    <s v=""/>
    <s v=""/>
    <b v="0"/>
    <s v=""/>
    <s v=""/>
    <b v="0"/>
    <s v=""/>
    <b v="0"/>
    <n v="0"/>
    <m/>
    <n v="0"/>
    <x v="0"/>
  </r>
  <r>
    <n v="27000261"/>
    <x v="2"/>
    <x v="4"/>
    <n v="90"/>
    <s v="svoj"/>
    <b v="1"/>
    <s v=""/>
    <s v=""/>
    <b v="0"/>
    <s v=""/>
    <b v="0"/>
    <n v="90"/>
    <m/>
    <n v="96"/>
    <x v="6"/>
  </r>
  <r>
    <n v="27000262"/>
    <x v="2"/>
    <x v="0"/>
    <s v=""/>
    <s v=""/>
    <b v="0"/>
    <s v=""/>
    <s v=""/>
    <b v="0"/>
    <s v=""/>
    <b v="0"/>
    <n v="0"/>
    <m/>
    <n v="0"/>
    <x v="0"/>
  </r>
  <r>
    <n v="27000263"/>
    <x v="2"/>
    <x v="2"/>
    <s v=""/>
    <s v=""/>
    <b v="0"/>
    <s v=""/>
    <s v=""/>
    <b v="0"/>
    <s v=""/>
    <b v="0"/>
    <n v="0"/>
    <m/>
    <n v="4"/>
    <x v="2"/>
  </r>
  <r>
    <n v="27000264"/>
    <x v="2"/>
    <x v="0"/>
    <s v=""/>
    <s v=""/>
    <b v="0"/>
    <s v=""/>
    <s v=""/>
    <b v="0"/>
    <n v="78"/>
    <b v="1"/>
    <n v="78"/>
    <m/>
    <n v="78"/>
    <x v="5"/>
  </r>
  <r>
    <n v="27000265"/>
    <x v="2"/>
    <x v="0"/>
    <s v=""/>
    <s v=""/>
    <b v="0"/>
    <s v=""/>
    <s v=""/>
    <b v="0"/>
    <s v=""/>
    <b v="0"/>
    <n v="0"/>
    <m/>
    <n v="0"/>
    <x v="0"/>
  </r>
  <r>
    <n v="27000266"/>
    <x v="2"/>
    <x v="0"/>
    <s v=""/>
    <s v=""/>
    <b v="0"/>
    <s v=""/>
    <s v=""/>
    <b v="0"/>
    <s v=""/>
    <b v="0"/>
    <n v="0"/>
    <m/>
    <n v="0"/>
    <x v="0"/>
  </r>
  <r>
    <n v="27000267"/>
    <x v="2"/>
    <x v="0"/>
    <s v=""/>
    <s v=""/>
    <b v="0"/>
    <s v=""/>
    <s v=""/>
    <b v="0"/>
    <s v=""/>
    <b v="0"/>
    <n v="0"/>
    <m/>
    <n v="0"/>
    <x v="0"/>
  </r>
  <r>
    <n v="27000268"/>
    <x v="2"/>
    <x v="1"/>
    <n v="67"/>
    <s v="šolski"/>
    <b v="1"/>
    <s v=""/>
    <s v=""/>
    <b v="0"/>
    <s v=""/>
    <b v="0"/>
    <n v="67"/>
    <m/>
    <n v="75"/>
    <x v="5"/>
  </r>
  <r>
    <n v="27000269"/>
    <x v="2"/>
    <x v="0"/>
    <s v=""/>
    <s v=""/>
    <b v="0"/>
    <s v=""/>
    <s v=""/>
    <b v="0"/>
    <s v=""/>
    <b v="0"/>
    <n v="0"/>
    <m/>
    <n v="0"/>
    <x v="0"/>
  </r>
  <r>
    <n v="27000270"/>
    <x v="2"/>
    <x v="6"/>
    <n v="95"/>
    <s v="svoj"/>
    <b v="1"/>
    <s v=""/>
    <s v=""/>
    <b v="0"/>
    <s v=""/>
    <b v="0"/>
    <n v="95"/>
    <m/>
    <n v="104"/>
    <x v="6"/>
  </r>
  <r>
    <n v="27000271"/>
    <x v="2"/>
    <x v="2"/>
    <s v=""/>
    <s v=""/>
    <b v="0"/>
    <s v=""/>
    <s v=""/>
    <b v="0"/>
    <s v=""/>
    <b v="0"/>
    <n v="0"/>
    <m/>
    <n v="4"/>
    <x v="2"/>
  </r>
  <r>
    <n v="27000272"/>
    <x v="0"/>
    <x v="4"/>
    <n v="40"/>
    <s v="šolski"/>
    <b v="1"/>
    <s v=""/>
    <s v=""/>
    <b v="0"/>
    <n v="49"/>
    <b v="1"/>
    <n v="49"/>
    <m/>
    <n v="55"/>
    <x v="3"/>
  </r>
  <r>
    <n v="27000273"/>
    <x v="2"/>
    <x v="0"/>
    <s v=""/>
    <s v=""/>
    <b v="0"/>
    <s v=""/>
    <s v=""/>
    <b v="0"/>
    <s v=""/>
    <b v="0"/>
    <n v="0"/>
    <m/>
    <n v="0"/>
    <x v="0"/>
  </r>
  <r>
    <n v="27000274"/>
    <x v="2"/>
    <x v="1"/>
    <n v="60"/>
    <s v="šolski"/>
    <b v="1"/>
    <s v=""/>
    <s v=""/>
    <b v="0"/>
    <s v=""/>
    <b v="0"/>
    <n v="60"/>
    <m/>
    <n v="68"/>
    <x v="4"/>
  </r>
  <r>
    <n v="27000275"/>
    <x v="2"/>
    <x v="0"/>
    <s v=""/>
    <s v=""/>
    <b v="0"/>
    <s v=""/>
    <s v=""/>
    <b v="0"/>
    <s v=""/>
    <b v="0"/>
    <n v="0"/>
    <m/>
    <n v="0"/>
    <x v="0"/>
  </r>
  <r>
    <n v="27000276"/>
    <x v="2"/>
    <x v="4"/>
    <n v="60"/>
    <s v="šolski"/>
    <b v="1"/>
    <s v=""/>
    <s v=""/>
    <b v="0"/>
    <s v=""/>
    <b v="0"/>
    <n v="60"/>
    <m/>
    <n v="66"/>
    <x v="4"/>
  </r>
  <r>
    <n v="27000277"/>
    <x v="2"/>
    <x v="0"/>
    <s v=""/>
    <s v=""/>
    <b v="0"/>
    <s v=""/>
    <s v=""/>
    <b v="0"/>
    <s v=""/>
    <b v="0"/>
    <n v="0"/>
    <m/>
    <n v="0"/>
    <x v="0"/>
  </r>
  <r>
    <n v="27000278"/>
    <x v="2"/>
    <x v="6"/>
    <n v="94"/>
    <s v="šolski"/>
    <b v="1"/>
    <s v=""/>
    <s v=""/>
    <b v="0"/>
    <s v=""/>
    <b v="0"/>
    <n v="94"/>
    <m/>
    <n v="103"/>
    <x v="6"/>
  </r>
  <r>
    <n v="27000279"/>
    <x v="0"/>
    <x v="8"/>
    <s v=""/>
    <s v=""/>
    <b v="0"/>
    <s v=""/>
    <s v=""/>
    <b v="0"/>
    <n v="24"/>
    <b v="1"/>
    <n v="24"/>
    <m/>
    <n v="31"/>
    <x v="2"/>
  </r>
  <r>
    <n v="27000280"/>
    <x v="2"/>
    <x v="6"/>
    <n v="95.5"/>
    <s v="šolski"/>
    <b v="1"/>
    <s v=""/>
    <s v=""/>
    <b v="0"/>
    <s v=""/>
    <b v="0"/>
    <n v="95.5"/>
    <m/>
    <n v="104.5"/>
    <x v="6"/>
  </r>
  <r>
    <n v="27000281"/>
    <x v="2"/>
    <x v="8"/>
    <n v="90.5"/>
    <s v="svoj"/>
    <b v="1"/>
    <s v=""/>
    <s v=""/>
    <b v="0"/>
    <s v=""/>
    <b v="0"/>
    <n v="90.5"/>
    <m/>
    <n v="97.5"/>
    <x v="6"/>
  </r>
  <r>
    <n v="27000282"/>
    <x v="2"/>
    <x v="0"/>
    <s v=""/>
    <s v=""/>
    <b v="0"/>
    <s v=""/>
    <s v=""/>
    <b v="0"/>
    <s v=""/>
    <b v="0"/>
    <n v="0"/>
    <m/>
    <n v="0"/>
    <x v="0"/>
  </r>
  <r>
    <n v="27000283"/>
    <x v="2"/>
    <x v="0"/>
    <s v=""/>
    <s v=""/>
    <b v="0"/>
    <s v=""/>
    <s v=""/>
    <b v="0"/>
    <s v=""/>
    <b v="0"/>
    <n v="0"/>
    <m/>
    <n v="0"/>
    <x v="0"/>
  </r>
  <r>
    <n v="27000284"/>
    <x v="2"/>
    <x v="0"/>
    <s v=""/>
    <s v=""/>
    <b v="0"/>
    <s v=""/>
    <s v=""/>
    <b v="0"/>
    <s v=""/>
    <b v="0"/>
    <n v="0"/>
    <m/>
    <n v="0"/>
    <x v="0"/>
  </r>
  <r>
    <n v="27000285"/>
    <x v="2"/>
    <x v="0"/>
    <s v=""/>
    <s v=""/>
    <b v="0"/>
    <s v=""/>
    <s v=""/>
    <b v="0"/>
    <s v=""/>
    <b v="0"/>
    <n v="0"/>
    <m/>
    <n v="0"/>
    <x v="0"/>
  </r>
  <r>
    <n v="27000286"/>
    <x v="2"/>
    <x v="1"/>
    <n v="70"/>
    <s v="šolski"/>
    <b v="1"/>
    <s v=""/>
    <s v=""/>
    <b v="0"/>
    <s v=""/>
    <b v="0"/>
    <n v="70"/>
    <m/>
    <n v="78"/>
    <x v="5"/>
  </r>
  <r>
    <n v="27000287"/>
    <x v="2"/>
    <x v="6"/>
    <n v="100"/>
    <s v="svoj"/>
    <b v="1"/>
    <s v=""/>
    <s v=""/>
    <b v="0"/>
    <s v=""/>
    <b v="0"/>
    <n v="100"/>
    <m/>
    <n v="109"/>
    <x v="6"/>
  </r>
  <r>
    <n v="27000288"/>
    <x v="2"/>
    <x v="0"/>
    <s v=""/>
    <s v=""/>
    <b v="0"/>
    <s v=""/>
    <s v=""/>
    <b v="0"/>
    <s v=""/>
    <b v="0"/>
    <n v="0"/>
    <m/>
    <n v="0"/>
    <x v="0"/>
  </r>
  <r>
    <n v="27000289"/>
    <x v="2"/>
    <x v="7"/>
    <n v="100"/>
    <s v="svoj"/>
    <b v="1"/>
    <s v=""/>
    <s v=""/>
    <b v="0"/>
    <s v=""/>
    <b v="0"/>
    <n v="100"/>
    <m/>
    <n v="110"/>
    <x v="6"/>
  </r>
  <r>
    <n v="27000290"/>
    <x v="2"/>
    <x v="6"/>
    <n v="84"/>
    <s v="svoj"/>
    <b v="1"/>
    <s v=""/>
    <s v=""/>
    <b v="0"/>
    <s v=""/>
    <b v="0"/>
    <n v="84"/>
    <m/>
    <n v="93"/>
    <x v="6"/>
  </r>
  <r>
    <n v="27000291"/>
    <x v="2"/>
    <x v="1"/>
    <n v="85.5"/>
    <s v="svoj"/>
    <b v="1"/>
    <s v=""/>
    <s v=""/>
    <b v="0"/>
    <s v=""/>
    <b v="0"/>
    <n v="85.5"/>
    <m/>
    <n v="93.5"/>
    <x v="6"/>
  </r>
  <r>
    <n v="27000292"/>
    <x v="2"/>
    <x v="0"/>
    <s v=""/>
    <s v=""/>
    <b v="0"/>
    <s v=""/>
    <s v=""/>
    <b v="0"/>
    <s v=""/>
    <b v="0"/>
    <n v="0"/>
    <m/>
    <n v="0"/>
    <x v="0"/>
  </r>
  <r>
    <n v="27000293"/>
    <x v="2"/>
    <x v="2"/>
    <s v=""/>
    <s v=""/>
    <b v="0"/>
    <s v=""/>
    <s v=""/>
    <b v="0"/>
    <s v=""/>
    <b v="0"/>
    <n v="0"/>
    <m/>
    <n v="4"/>
    <x v="2"/>
  </r>
  <r>
    <n v="27000294"/>
    <x v="2"/>
    <x v="6"/>
    <n v="100"/>
    <s v="svoj"/>
    <b v="1"/>
    <s v=""/>
    <s v=""/>
    <b v="0"/>
    <s v=""/>
    <b v="0"/>
    <n v="100"/>
    <m/>
    <n v="109"/>
    <x v="6"/>
  </r>
  <r>
    <n v="27000295"/>
    <x v="0"/>
    <x v="0"/>
    <s v=""/>
    <s v=""/>
    <b v="0"/>
    <n v="33"/>
    <s v="šolski"/>
    <b v="1"/>
    <n v="37"/>
    <b v="1"/>
    <n v="37"/>
    <m/>
    <n v="37"/>
    <x v="2"/>
  </r>
  <r>
    <n v="27000296"/>
    <x v="2"/>
    <x v="1"/>
    <n v="100"/>
    <s v="šolski"/>
    <b v="1"/>
    <s v=""/>
    <s v=""/>
    <b v="0"/>
    <s v=""/>
    <b v="0"/>
    <n v="100"/>
    <m/>
    <n v="108"/>
    <x v="6"/>
  </r>
  <r>
    <n v="27000297"/>
    <x v="2"/>
    <x v="8"/>
    <n v="94.5"/>
    <s v="svoj"/>
    <b v="1"/>
    <s v=""/>
    <s v=""/>
    <b v="0"/>
    <s v=""/>
    <b v="0"/>
    <n v="94.5"/>
    <m/>
    <n v="101.5"/>
    <x v="6"/>
  </r>
  <r>
    <n v="27000298"/>
    <x v="2"/>
    <x v="0"/>
    <n v="45.5"/>
    <s v="šolski"/>
    <b v="1"/>
    <s v=""/>
    <s v=""/>
    <b v="0"/>
    <s v=""/>
    <b v="0"/>
    <n v="45.5"/>
    <m/>
    <n v="45.5"/>
    <x v="2"/>
  </r>
  <r>
    <n v="27000299"/>
    <x v="2"/>
    <x v="0"/>
    <s v=""/>
    <s v=""/>
    <b v="0"/>
    <s v=""/>
    <s v=""/>
    <b v="0"/>
    <s v=""/>
    <b v="0"/>
    <n v="0"/>
    <m/>
    <n v="0"/>
    <x v="0"/>
  </r>
  <r>
    <n v="27000300"/>
    <x v="2"/>
    <x v="6"/>
    <s v=""/>
    <s v=""/>
    <b v="0"/>
    <n v="99"/>
    <s v="šolski"/>
    <b v="1"/>
    <s v=""/>
    <b v="0"/>
    <n v="99"/>
    <m/>
    <n v="108"/>
    <x v="6"/>
  </r>
  <r>
    <n v="27000301"/>
    <x v="2"/>
    <x v="2"/>
    <n v="0"/>
    <s v="šolski"/>
    <b v="1"/>
    <n v="32"/>
    <s v="šolski"/>
    <b v="1"/>
    <n v="0"/>
    <b v="1"/>
    <n v="32"/>
    <m/>
    <n v="36"/>
    <x v="2"/>
  </r>
  <r>
    <n v="27000302"/>
    <x v="2"/>
    <x v="4"/>
    <n v="34"/>
    <s v="šolski"/>
    <b v="1"/>
    <n v="63"/>
    <s v="šolski"/>
    <b v="1"/>
    <s v=""/>
    <b v="0"/>
    <n v="63"/>
    <m/>
    <n v="69"/>
    <x v="4"/>
  </r>
  <r>
    <n v="27000303"/>
    <x v="2"/>
    <x v="4"/>
    <n v="43"/>
    <s v="šolski"/>
    <b v="1"/>
    <n v="62"/>
    <s v="šolski"/>
    <b v="1"/>
    <s v=""/>
    <b v="0"/>
    <n v="62"/>
    <m/>
    <n v="68"/>
    <x v="4"/>
  </r>
  <r>
    <n v="27000304"/>
    <x v="2"/>
    <x v="3"/>
    <n v="3"/>
    <s v="svoj"/>
    <b v="1"/>
    <n v="75"/>
    <s v="svoj"/>
    <b v="1"/>
    <s v=""/>
    <b v="0"/>
    <n v="75"/>
    <m/>
    <n v="80"/>
    <x v="1"/>
  </r>
  <r>
    <n v="27000305"/>
    <x v="2"/>
    <x v="2"/>
    <s v=""/>
    <s v=""/>
    <b v="0"/>
    <n v="16"/>
    <s v="svoj"/>
    <b v="1"/>
    <s v=""/>
    <b v="0"/>
    <n v="16"/>
    <m/>
    <n v="20"/>
    <x v="2"/>
  </r>
  <r>
    <n v="27000306"/>
    <x v="4"/>
    <x v="0"/>
    <s v=""/>
    <s v=""/>
    <b v="0"/>
    <s v=""/>
    <s v=""/>
    <b v="0"/>
    <s v=""/>
    <b v="0"/>
    <n v="0"/>
    <m/>
    <n v="0"/>
    <x v="0"/>
  </r>
  <r>
    <n v="27000307"/>
    <x v="4"/>
    <x v="6"/>
    <n v="87"/>
    <s v="šolski"/>
    <b v="1"/>
    <s v=""/>
    <s v=""/>
    <b v="0"/>
    <s v=""/>
    <b v="0"/>
    <n v="87"/>
    <m/>
    <n v="96"/>
    <x v="6"/>
  </r>
  <r>
    <n v="27000308"/>
    <x v="4"/>
    <x v="3"/>
    <n v="99"/>
    <s v="svoj"/>
    <b v="1"/>
    <s v=""/>
    <s v=""/>
    <b v="0"/>
    <s v=""/>
    <b v="0"/>
    <n v="99"/>
    <m/>
    <n v="104"/>
    <x v="6"/>
  </r>
  <r>
    <n v="27000309"/>
    <x v="4"/>
    <x v="6"/>
    <n v="80"/>
    <s v="šolski"/>
    <b v="1"/>
    <s v=""/>
    <s v=""/>
    <b v="0"/>
    <s v=""/>
    <b v="0"/>
    <n v="80"/>
    <m/>
    <n v="89"/>
    <x v="6"/>
  </r>
  <r>
    <n v="27000310"/>
    <x v="4"/>
    <x v="6"/>
    <n v="80.5"/>
    <s v="šolski"/>
    <b v="1"/>
    <s v=""/>
    <s v=""/>
    <b v="0"/>
    <s v=""/>
    <b v="0"/>
    <n v="80.5"/>
    <m/>
    <n v="89.5"/>
    <x v="6"/>
  </r>
  <r>
    <n v="27000311"/>
    <x v="4"/>
    <x v="4"/>
    <s v=""/>
    <s v=""/>
    <b v="0"/>
    <s v=""/>
    <s v=""/>
    <b v="0"/>
    <s v=""/>
    <b v="0"/>
    <n v="0"/>
    <m/>
    <n v="6"/>
    <x v="2"/>
  </r>
  <r>
    <n v="27000312"/>
    <x v="4"/>
    <x v="1"/>
    <n v="76"/>
    <s v="šolski"/>
    <b v="1"/>
    <s v=""/>
    <s v=""/>
    <b v="0"/>
    <s v=""/>
    <b v="0"/>
    <n v="76"/>
    <m/>
    <n v="84"/>
    <x v="1"/>
  </r>
  <r>
    <n v="27000313"/>
    <x v="4"/>
    <x v="8"/>
    <n v="87"/>
    <s v="svoj"/>
    <b v="1"/>
    <s v=""/>
    <s v=""/>
    <b v="0"/>
    <s v=""/>
    <b v="0"/>
    <n v="87"/>
    <m/>
    <n v="94"/>
    <x v="6"/>
  </r>
  <r>
    <n v="27000314"/>
    <x v="4"/>
    <x v="0"/>
    <s v=""/>
    <s v=""/>
    <b v="0"/>
    <s v=""/>
    <s v=""/>
    <b v="0"/>
    <s v=""/>
    <b v="0"/>
    <n v="0"/>
    <m/>
    <n v="0"/>
    <x v="0"/>
  </r>
  <r>
    <n v="27000315"/>
    <x v="4"/>
    <x v="0"/>
    <s v=""/>
    <s v=""/>
    <b v="0"/>
    <s v=""/>
    <s v=""/>
    <b v="0"/>
    <s v=""/>
    <b v="0"/>
    <n v="0"/>
    <m/>
    <n v="0"/>
    <x v="0"/>
  </r>
  <r>
    <n v="27000316"/>
    <x v="4"/>
    <x v="8"/>
    <n v="35.5"/>
    <s v="šolski"/>
    <b v="1"/>
    <s v=""/>
    <s v=""/>
    <b v="0"/>
    <s v=""/>
    <b v="0"/>
    <n v="35.5"/>
    <m/>
    <n v="42.5"/>
    <x v="2"/>
  </r>
  <r>
    <n v="27000317"/>
    <x v="4"/>
    <x v="4"/>
    <n v="70"/>
    <s v="šolski"/>
    <b v="1"/>
    <s v=""/>
    <s v=""/>
    <b v="0"/>
    <s v=""/>
    <b v="0"/>
    <n v="70"/>
    <m/>
    <n v="76"/>
    <x v="1"/>
  </r>
  <r>
    <n v="27000318"/>
    <x v="4"/>
    <x v="4"/>
    <n v="35"/>
    <s v="šolski"/>
    <b v="1"/>
    <s v=""/>
    <s v=""/>
    <b v="0"/>
    <s v=""/>
    <b v="0"/>
    <n v="35"/>
    <m/>
    <n v="41"/>
    <x v="2"/>
  </r>
  <r>
    <n v="27000319"/>
    <x v="4"/>
    <x v="8"/>
    <n v="24"/>
    <s v="šolski"/>
    <b v="1"/>
    <n v="47"/>
    <s v="šolski"/>
    <b v="1"/>
    <s v=""/>
    <b v="0"/>
    <n v="47"/>
    <m/>
    <n v="54"/>
    <x v="3"/>
  </r>
  <r>
    <n v="27000320"/>
    <x v="4"/>
    <x v="8"/>
    <s v=""/>
    <s v=""/>
    <b v="0"/>
    <n v="0"/>
    <s v="svoj"/>
    <b v="1"/>
    <s v=""/>
    <b v="0"/>
    <n v="0"/>
    <m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789D5-55C4-194C-954E-1CB5E08CAE4A}" name="PivotTable4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9:H38" firstHeaderRow="1" firstDataRow="2" firstDataCol="1"/>
  <pivotFields count="15"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>
      <items count="10">
        <item x="0"/>
        <item x="5"/>
        <item x="2"/>
        <item x="3"/>
        <item x="4"/>
        <item x="8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1"/>
        <item x="6"/>
        <item x="0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6DEF3-D3B2-744D-9FAE-B256E7513361}" name="PivotTable3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H26" firstHeaderRow="1" firstDataRow="2" firstDataCol="1"/>
  <pivotFields count="15">
    <pivotField dataField="1" showAll="0"/>
    <pivotField axis="axisCol" showAll="0">
      <items count="6">
        <item x="0"/>
        <item x="3"/>
        <item x="1"/>
        <item x="2"/>
        <item x="4"/>
        <item t="default"/>
      </items>
    </pivotField>
    <pivotField axis="axisRow" showAll="0">
      <items count="10">
        <item x="0"/>
        <item x="5"/>
        <item x="2"/>
        <item x="3"/>
        <item x="4"/>
        <item x="8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3"/>
        <item x="4"/>
        <item x="5"/>
        <item x="1"/>
        <item x="6"/>
        <item x="0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3779B-3702-D244-877D-92BF1FA876BD}" name="PivotTable1" cacheId="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L12" firstHeaderRow="1" firstDataRow="2" firstDataCol="1"/>
  <pivotFields count="15">
    <pivotField dataField="1" showAll="0"/>
    <pivotField showAll="0"/>
    <pivotField axis="axisCol" showAll="0">
      <items count="10">
        <item x="0"/>
        <item x="5"/>
        <item x="2"/>
        <item x="3"/>
        <item x="4"/>
        <item x="8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1"/>
        <item x="6"/>
        <item x="0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Vpisna" fld="0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9C819-78A3-4F43-BFDB-5D9396F9D0D8}" name="Prijave1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21:S25" firstHeaderRow="1" firstDataRow="2" firstDataCol="1"/>
  <pivotFields count="10">
    <pivotField dataField="1" numFmtId="1" showAll="0"/>
    <pivotField axis="axisCol" showAll="0">
      <items count="8">
        <item x="1"/>
        <item x="2"/>
        <item x="3"/>
        <item x="0"/>
        <item x="4"/>
        <item m="1" x="5"/>
        <item m="1" x="6"/>
        <item t="default"/>
      </items>
    </pivotField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0" subtotal="count" baseField="0" baseItem="0" numFmtId="1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CA0B5-64F1-034A-A5BF-216D52DF1443}" name="Natisnjeni1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3:S18" firstHeaderRow="1" firstDataRow="2" firstDataCol="1"/>
  <pivotFields count="10">
    <pivotField dataField="1" numFmtId="1" showAll="0"/>
    <pivotField axis="axisCol" showAll="0">
      <items count="8">
        <item x="1"/>
        <item x="2"/>
        <item x="3"/>
        <item x="0"/>
        <item x="4"/>
        <item m="1" x="5"/>
        <item m="1" x="6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4"/>
  </rowFields>
  <rowItems count="14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0" subtotal="count" baseField="0" baseItem="0" numFmtId="1"/>
  </dataFields>
  <formats count="2">
    <format dxfId="85">
      <pivotArea dataOnly="0" labelOnly="1" fieldPosition="0">
        <references count="1">
          <reference field="3" count="1">
            <x v="1"/>
          </reference>
        </references>
      </pivotArea>
    </format>
    <format dxfId="84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5163B-4098-ED42-A6CD-54D3B17D25FB}" name="Zasedenost1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28:S55" firstHeaderRow="1" firstDataRow="2" firstDataCol="1"/>
  <pivotFields count="10">
    <pivotField dataField="1" numFmtId="1" showAll="0"/>
    <pivotField axis="axisCol" showAll="0">
      <items count="8">
        <item x="1"/>
        <item x="2"/>
        <item x="3"/>
        <item x="0"/>
        <item x="4"/>
        <item m="1" x="5"/>
        <item m="1" x="6"/>
        <item t="default"/>
      </items>
    </pivotField>
    <pivotField axis="axisRow" showAll="0">
      <items count="4">
        <item m="1"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3">
    <field x="3"/>
    <field x="4"/>
    <field x="2"/>
  </rowFields>
  <rowItems count="26">
    <i>
      <x/>
    </i>
    <i r="1">
      <x/>
    </i>
    <i r="2">
      <x v="1"/>
    </i>
    <i r="1">
      <x v="1"/>
    </i>
    <i r="2">
      <x v="1"/>
    </i>
    <i r="2">
      <x v="2"/>
    </i>
    <i r="1">
      <x v="2"/>
    </i>
    <i r="2">
      <x v="2"/>
    </i>
    <i>
      <x v="1"/>
    </i>
    <i r="1">
      <x/>
    </i>
    <i r="2">
      <x v="1"/>
    </i>
    <i r="1">
      <x v="1"/>
    </i>
    <i r="2">
      <x v="1"/>
    </i>
    <i r="2">
      <x v="2"/>
    </i>
    <i r="1">
      <x v="2"/>
    </i>
    <i r="2">
      <x v="2"/>
    </i>
    <i r="1">
      <x v="3"/>
    </i>
    <i r="2">
      <x v="2"/>
    </i>
    <i>
      <x v="2"/>
    </i>
    <i r="1">
      <x/>
    </i>
    <i r="2">
      <x v="1"/>
    </i>
    <i r="1">
      <x v="1"/>
    </i>
    <i r="2">
      <x v="1"/>
    </i>
    <i r="1">
      <x v="2"/>
    </i>
    <i r="2"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0" subtotal="count" baseField="0" baseItem="0" numFmtId="1"/>
  </dataFields>
  <formats count="1">
    <format dxfId="86">
      <pivotArea dataOnly="0" labelOnly="1" fieldPosition="0">
        <references count="1">
          <reference field="3" count="0"/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D22F-2426-EC44-BC37-1FCA5699F227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20:S33" firstHeaderRow="1" firstDataRow="2" firstDataCol="1"/>
  <pivotFields count="10">
    <pivotField axis="axisCol" showAll="0">
      <items count="8">
        <item x="1"/>
        <item x="2"/>
        <item x="0"/>
        <item x="3"/>
        <item x="4"/>
        <item m="1" x="6"/>
        <item m="1" x="5"/>
        <item t="default"/>
      </items>
    </pivotField>
    <pivotField dataField="1" numFmtId="49" showAll="0"/>
    <pivotField axis="axisRow" showAll="0">
      <items count="4">
        <item x="1"/>
        <item x="0"/>
        <item m="1"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7">
        <item x="0"/>
        <item m="1" x="4"/>
        <item x="1"/>
        <item m="1" x="5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3">
    <field x="3"/>
    <field x="4"/>
    <field x="2"/>
  </rowFields>
  <rowItems count="12">
    <i>
      <x/>
    </i>
    <i r="1">
      <x/>
    </i>
    <i r="2">
      <x/>
    </i>
    <i r="2">
      <x v="1"/>
    </i>
    <i r="1">
      <x v="2"/>
    </i>
    <i r="2">
      <x v="1"/>
    </i>
    <i r="1">
      <x v="4"/>
    </i>
    <i r="2">
      <x/>
    </i>
    <i r="1">
      <x v="5"/>
    </i>
    <i r="2">
      <x/>
    </i>
    <i r="2"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1" subtotal="count" baseField="0" baseItem="0" numFmtId="49"/>
  </dataFields>
  <formats count="31">
    <format dxfId="58">
      <pivotArea dataOnly="0" labelOnly="1" fieldPosition="0">
        <references count="1">
          <reference field="3" count="0"/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0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3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3" count="0" selected="0"/>
          <reference field="4" count="0"/>
        </references>
      </pivotArea>
    </format>
    <format dxfId="48">
      <pivotArea dataOnly="0" labelOnly="1" fieldPosition="0">
        <references count="3">
          <reference field="2" count="0"/>
          <reference field="3" count="0" selected="0"/>
          <reference field="4" count="1" selected="0">
            <x v="0"/>
          </reference>
        </references>
      </pivotArea>
    </format>
    <format dxfId="47">
      <pivotArea dataOnly="0" labelOnly="1" fieldPosition="0">
        <references count="3">
          <reference field="2" count="1">
            <x v="1"/>
          </reference>
          <reference field="3" count="0" selected="0"/>
          <reference field="4" count="1" selected="0">
            <x v="2"/>
          </reference>
        </references>
      </pivotArea>
    </format>
    <format dxfId="46">
      <pivotArea dataOnly="0" labelOnly="1" fieldPosition="0">
        <references count="3">
          <reference field="2" count="1">
            <x v="0"/>
          </reference>
          <reference field="3" count="0" selected="0"/>
          <reference field="4" count="1" selected="0">
            <x v="4"/>
          </reference>
        </references>
      </pivotArea>
    </format>
    <format dxfId="45">
      <pivotArea dataOnly="0" labelOnly="1" fieldPosition="0">
        <references count="3">
          <reference field="2" count="0"/>
          <reference field="3" count="0" selected="0"/>
          <reference field="4" count="1" selected="0">
            <x v="5"/>
          </reference>
        </references>
      </pivotArea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Col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0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2">
          <reference field="3" count="0" selected="0"/>
          <reference field="4" count="0"/>
        </references>
      </pivotArea>
    </format>
    <format dxfId="33">
      <pivotArea dataOnly="0" labelOnly="1" fieldPosition="0">
        <references count="3">
          <reference field="2" count="0"/>
          <reference field="3" count="0" selected="0"/>
          <reference field="4" count="1" selected="0">
            <x v="0"/>
          </reference>
        </references>
      </pivotArea>
    </format>
    <format dxfId="32">
      <pivotArea dataOnly="0" labelOnly="1" fieldPosition="0">
        <references count="3">
          <reference field="2" count="1">
            <x v="1"/>
          </reference>
          <reference field="3" count="0" selected="0"/>
          <reference field="4" count="1" selected="0">
            <x v="2"/>
          </reference>
        </references>
      </pivotArea>
    </format>
    <format dxfId="31">
      <pivotArea dataOnly="0" labelOnly="1" fieldPosition="0">
        <references count="3">
          <reference field="2" count="1">
            <x v="0"/>
          </reference>
          <reference field="3" count="0" selected="0"/>
          <reference field="4" count="1" selected="0">
            <x v="4"/>
          </reference>
        </references>
      </pivotArea>
    </format>
    <format dxfId="30">
      <pivotArea dataOnly="0" labelOnly="1" fieldPosition="0">
        <references count="3">
          <reference field="2" count="0"/>
          <reference field="3" count="0" selected="0"/>
          <reference field="4" count="1" selected="0">
            <x v="5"/>
          </reference>
        </references>
      </pivotArea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Col="1" outline="0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353A7-293F-C845-A93F-97CF8D456E2C}" name="PivotTable6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75:R76" firstHeaderRow="1" firstDataRow="2" firstDataCol="0"/>
  <pivotFields count="10">
    <pivotField numFmtId="1" showAll="0"/>
    <pivotField axis="axisCol" showAll="0">
      <items count="8">
        <item x="1"/>
        <item x="2"/>
        <item m="1" x="5"/>
        <item x="3"/>
        <item m="1" x="6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6">
    <i>
      <x/>
    </i>
    <i>
      <x v="1"/>
    </i>
    <i>
      <x v="3"/>
    </i>
    <i>
      <x v="5"/>
    </i>
    <i>
      <x v="6"/>
    </i>
    <i t="grand">
      <x/>
    </i>
  </colItems>
  <formats count="12">
    <format dxfId="70">
      <pivotArea type="all" dataOnly="0" outline="0" fieldPosition="0"/>
    </format>
    <format dxfId="69">
      <pivotArea outline="0" collapsedLevelsAreSubtotals="1" fieldPosition="0"/>
    </format>
    <format dxfId="68">
      <pivotArea type="origin" dataOnly="0" labelOnly="1" outline="0" fieldPosition="0"/>
    </format>
    <format dxfId="67">
      <pivotArea dataOnly="0" labelOnly="1" outline="0" axis="axisValues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dataOnly="0" labelOnly="1" outline="0" axis="axisValues" fieldPosition="0"/>
    </format>
    <format dxfId="60">
      <pivotArea field="1" type="button" dataOnly="0" labelOnly="1" outline="0" axis="axisCol" fieldPosition="0"/>
    </format>
    <format dxfId="59">
      <pivotArea type="topRight" dataOnly="0" labelOnly="1" outline="0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0EFED-FFD2-8946-BA7D-8AC29995E790}" name="PivotTable7" cacheId="1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86:S88" firstHeaderRow="1" firstDataRow="2" firstDataCol="1"/>
  <pivotFields count="10">
    <pivotField numFmtId="1" showAll="0"/>
    <pivotField axis="axisCol" showAll="0">
      <items count="8">
        <item x="1"/>
        <item x="2"/>
        <item m="1" x="5"/>
        <item x="3"/>
        <item m="1" x="6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1"/>
  </colFields>
  <colItems count="6">
    <i>
      <x/>
    </i>
    <i>
      <x v="1"/>
    </i>
    <i>
      <x v="3"/>
    </i>
    <i>
      <x v="5"/>
    </i>
    <i>
      <x v="6"/>
    </i>
    <i t="grand">
      <x/>
    </i>
  </colItems>
  <dataFields count="1">
    <dataField name="mejne točke" fld="9" subtotal="max" baseField="0" baseItem="0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980D5-600B-364F-BB58-E3CF368089F0}" name="Natisnjeni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3:S10" firstHeaderRow="1" firstDataRow="2" firstDataCol="1"/>
  <pivotFields count="10">
    <pivotField axis="axisCol" showAll="0">
      <items count="8">
        <item x="1"/>
        <item x="2"/>
        <item x="0"/>
        <item x="3"/>
        <item x="4"/>
        <item m="1" x="6"/>
        <item m="1" x="5"/>
        <item t="default"/>
      </items>
    </pivotField>
    <pivotField dataField="1" numFmtId="49" showAll="0"/>
    <pivotField showAll="0"/>
    <pivotField axis="axisRow" showAll="0">
      <items count="2">
        <item x="0"/>
        <item t="default"/>
      </items>
    </pivotField>
    <pivotField axis="axisRow" showAll="0">
      <items count="7">
        <item x="0"/>
        <item m="1" x="5"/>
        <item m="1"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4"/>
  </rowFields>
  <rowItems count="6">
    <i>
      <x/>
    </i>
    <i r="1">
      <x/>
    </i>
    <i r="1">
      <x v="3"/>
    </i>
    <i r="1">
      <x v="4"/>
    </i>
    <i r="1"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1" subtotal="count" baseField="0" baseItem="0" numFmtId="49"/>
  </dataFields>
  <formats count="1">
    <format dxfId="71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D82DA-AD0B-6441-8E60-11567ACBD2D1}" name="Prijav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 colHeaderCaption="">
  <location ref="M13:S17" firstHeaderRow="1" firstDataRow="2" firstDataCol="1"/>
  <pivotFields count="10">
    <pivotField axis="axisCol" showAll="0">
      <items count="8">
        <item x="1"/>
        <item x="2"/>
        <item x="0"/>
        <item x="3"/>
        <item x="4"/>
        <item m="1" x="6"/>
        <item m="1" x="5"/>
        <item t="default"/>
      </items>
    </pivotField>
    <pivotField dataField="1" numFmtId="49" showAll="0"/>
    <pivotField axis="axisRow" showAll="0">
      <items count="4">
        <item x="1"/>
        <item x="0"/>
        <item m="1"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pisna" fld="1" subtotal="count" baseField="0" baseItem="0" numFmtId="49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512AF2-CD82-DA43-9722-92F21F02A22B}" name="Rezultati" displayName="Rezultati" ref="B2:P322" totalsRowShown="0" headerRowDxfId="103" dataDxfId="102">
  <autoFilter ref="B2:P322" xr:uid="{E4512AF2-CD82-DA43-9722-92F21F02A22B}"/>
  <tableColumns count="15">
    <tableColumn id="3" xr3:uid="{7DFA719C-4AE9-4C40-9FC4-F7C8C562A48C}" name="Vpisna" dataDxfId="101"/>
    <tableColumn id="4" xr3:uid="{CE61BACD-ED30-DF4A-A18B-FAC009A950D9}" name="Program" dataDxfId="100"/>
    <tableColumn id="16" xr3:uid="{416900A8-C7AC-3C45-821A-49294036343C}" name="DN" dataDxfId="99">
      <calculatedColumnFormula>_xlfn.IFNA(_xlfn.XLOOKUP(Rezultati[[#This Row],[Vpisna]], DomaceNaloge[Vpisna],DomaceNaloge[Skupaj]), 0)</calculatedColumnFormula>
    </tableColumn>
    <tableColumn id="5" xr3:uid="{93408736-407E-A441-B7F8-F0EEAAE3BE45}" name="1.izpit" dataDxfId="98">
      <calculatedColumnFormula>_xlfn.IFNA(_xlfn.XLOOKUP(Rezultati[[#This Row],[Vpisna]], Izpit1[Vpisna],Izpit1[Skupaj]), "")</calculatedColumnFormula>
    </tableColumn>
    <tableColumn id="10" xr3:uid="{483BE816-15E6-9642-8421-F152410F1FCD}" name="1. izpit rok" dataDxfId="97">
      <calculatedColumnFormula>_xlfn.IFNA(_xlfn.XLOOKUP(Rezultati[[#This Row],[Vpisna]], Izpit1[Vpisna],Izpit1[Računalnik]), "")</calculatedColumnFormula>
    </tableColumn>
    <tableColumn id="12" xr3:uid="{3AB5EE55-007E-0F48-83F4-2B7D0F56E7B7}" name="1. izpit VIS" dataDxfId="96"/>
    <tableColumn id="6" xr3:uid="{36CD8B63-0283-9549-BD8B-B5759667B30D}" name="2.izpit" dataDxfId="95">
      <calculatedColumnFormula>_xlfn.IFNA(_xlfn.XLOOKUP(Rezultati[[#This Row],[Vpisna]], Izpit2[Vpisna],Izpit2[Skupaj]), "")</calculatedColumnFormula>
    </tableColumn>
    <tableColumn id="11" xr3:uid="{D1319D11-A680-0D48-B5F8-E2F5C7B23319}" name="2. izpit rok" dataDxfId="94">
      <calculatedColumnFormula>_xlfn.IFNA(_xlfn.XLOOKUP(Rezultati[[#This Row],[Vpisna]], Izpit2[Vpisna],Izpit2[Računalnik]), "")</calculatedColumnFormula>
    </tableColumn>
    <tableColumn id="13" xr3:uid="{146E352C-0587-4446-9336-CE8DF40C201C}" name="2. izpit VIS" dataDxfId="93"/>
    <tableColumn id="7" xr3:uid="{44F08EE1-B903-A045-AECE-A812A996DA8E}" name="3.izpit" dataDxfId="92">
      <calculatedColumnFormula>_xlfn.IFNA(_xlfn.XLOOKUP(Rezultati[[#This Row],[Vpisna]], Izpit3[Vpisna],Izpit3[Skupaj]), "")</calculatedColumnFormula>
    </tableColumn>
    <tableColumn id="14" xr3:uid="{E2614C15-8E5E-364F-8DB7-9E388C7D3506}" name="3. izpit VIS" dataDxfId="91"/>
    <tableColumn id="8" xr3:uid="{DB2DA1A6-94E0-0142-BEC1-E5D035644011}" name="Max" dataDxfId="90">
      <calculatedColumnFormula>MAX(Rezultati[[#This Row],[1.izpit]],Rezultati[[#This Row],[2.izpit]],Rezultati[[#This Row],[3.izpit]])</calculatedColumnFormula>
    </tableColumn>
    <tableColumn id="15" xr3:uid="{7E939AB2-B6E4-E64F-A9CD-B99C853BA8EC}" name="Bonus" dataDxfId="89"/>
    <tableColumn id="18" xr3:uid="{70878D2F-870C-6344-A2DF-21F8880D116D}" name="Skupaj" dataDxfId="88">
      <calculatedColumnFormula>Rezultati[[#This Row],[DN]]+Rezultati[[#This Row],[Max]]+Rezultati[[#This Row],[Bonus]]</calculatedColumnFormula>
    </tableColumn>
    <tableColumn id="9" xr3:uid="{57100EC6-8ADC-2E46-88D7-D60D1AC1BCB5}" name="Ocena" dataDxfId="87">
      <calculatedColumnFormula array="1">_xlfn.XLOOKUP(Rezultati[[#This Row],[Skupaj]],_xlfn.XLOOKUP(Rezultati[[#This Row],[Program]],Kriterij[[#Headers],[APF]:[PED]],Kriterij[[APF]:[PED]]), Kriterij[Ocena], "", -1, 2)</calculatedColumnFormula>
    </tableColumn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5BF27E-44CB-D44E-B183-FEA1F34B92E6}" name="Kriterij" displayName="Kriterij" ref="R2:W8" totalsRowShown="0">
  <autoFilter ref="R2:W8" xr:uid="{4A5BF27E-44CB-D44E-B183-FEA1F34B92E6}"/>
  <tableColumns count="6">
    <tableColumn id="1" xr3:uid="{96AAA9F0-C61E-644E-B097-58DCFE173E74}" name="Ocena"/>
    <tableColumn id="2" xr3:uid="{450CDD88-F0CA-9D41-9F4A-497DC5AF91A7}" name="APF"/>
    <tableColumn id="3" xr3:uid="{87796269-F8B5-0446-B42E-9F7D18E08E4C}" name="APM"/>
    <tableColumn id="4" xr3:uid="{E1CB3D4C-ABDE-A548-8932-0C6A42546C31}" name="FIN"/>
    <tableColumn id="5" xr3:uid="{DECBCD94-1323-2143-869A-27B32C5A96E6}" name="MAT"/>
    <tableColumn id="6" xr3:uid="{EB1436E1-C66C-6046-A754-D3DA1CADA8CD}" name="P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69EF44-DEFF-F64A-9914-461D2C18FC2F}" name="DomaceNaloge" displayName="DomaceNaloge" ref="B2:N173" totalsRowShown="0">
  <autoFilter ref="B2:N173" xr:uid="{0F69EF44-DEFF-F64A-9914-461D2C18FC2F}"/>
  <tableColumns count="13">
    <tableColumn id="5" xr3:uid="{E1146191-60DA-5B47-A00A-E0D738BABACA}" name="Vpisna"/>
    <tableColumn id="20" xr3:uid="{0842A865-0888-C84B-8721-8DF596635B9F}" name="Program">
      <calculatedColumnFormula>_xlfn.XLOOKUP(DomaceNaloge[[#This Row],[Vpisna]],Rezultati[Vpisna],Rezultati[Program])</calculatedColumnFormula>
    </tableColumn>
    <tableColumn id="8" xr3:uid="{4620BF02-DBDB-4747-986E-80EB8F1646C7}" name="1"/>
    <tableColumn id="9" xr3:uid="{68EB9537-1247-4D44-BBED-1E903CA1C8C5}" name="2"/>
    <tableColumn id="10" xr3:uid="{90856C88-4BCA-6341-AE68-901EEC33A2BF}" name="3"/>
    <tableColumn id="11" xr3:uid="{FDF54BF7-33CE-084F-A862-776E5C840193}" name="4"/>
    <tableColumn id="14" xr3:uid="{107B55AF-EA86-DE4E-8457-ECBD77037A4C}" name="5"/>
    <tableColumn id="18" xr3:uid="{FB75ABF1-021F-024C-9021-0A088B50A0FC}" name="6"/>
    <tableColumn id="17" xr3:uid="{601AA9CB-CCAA-7F45-A04D-A1447751D407}" name="7"/>
    <tableColumn id="16" xr3:uid="{49E5D12D-23D9-D048-822A-8CCFB6934165}" name="8"/>
    <tableColumn id="12" xr3:uid="{20F11312-A2CA-584A-B303-5FC6B6F4ECE0}" name="9"/>
    <tableColumn id="13" xr3:uid="{8534407C-9FD2-0F44-8A81-323B7ED7FC14}" name="10"/>
    <tableColumn id="15" xr3:uid="{EECD2686-C220-6C42-A8A9-E02810958BF0}" name="Skupaj">
      <calculatedColumnFormula>SUM(DomaceNaloge[[#This Row],[1]:[10]])</calculatedColumnFormula>
    </tableColumn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89A2DC-1E78-DB4D-AE23-CFAA20FFF80E}" name="Izpit1" displayName="Izpit1" ref="B2:K136" totalsRowShown="0" headerRowDxfId="83" dataDxfId="82">
  <autoFilter ref="B2:K136" xr:uid="{8B89A2DC-1E78-DB4D-AE23-CFAA20FFF80E}"/>
  <tableColumns count="10">
    <tableColumn id="2" xr3:uid="{2B921BE9-7D08-9345-856A-9130FDA4FEC4}" name="Vpisna" dataDxfId="81"/>
    <tableColumn id="1" xr3:uid="{44315DFA-FB50-8441-89E2-5DA409FD4150}" name="Program" dataDxfId="80">
      <calculatedColumnFormula>_xlfn.XLOOKUP(Izpit1[[#This Row],[Vpisna]],Rezultati[Vpisna],Rezultati[Program])</calculatedColumnFormula>
    </tableColumn>
    <tableColumn id="5" xr3:uid="{D794EAB4-0C8A-6C4D-A1AF-758E79007111}" name="Računalnik" dataDxfId="79"/>
    <tableColumn id="12" xr3:uid="{CC42F48C-7773-1143-9E52-C389EF09F08E}" name="Termin" dataDxfId="78"/>
    <tableColumn id="13" xr3:uid="{E0D03783-3220-5244-9F1C-F20A7978DB75}" name="Učilnica" dataDxfId="77"/>
    <tableColumn id="9" xr3:uid="{5A0F5802-09B0-8449-A54B-D5529A717D4E}" name="HTML" dataDxfId="76"/>
    <tableColumn id="8" xr3:uid="{9C0F20CA-D3A7-1A41-92CA-C846E64C0943}" name="LaTeX" dataDxfId="75"/>
    <tableColumn id="7" xr3:uid="{ADECFA8C-B2EA-704F-B59A-CEB61F0A12DB}" name="Excel" dataDxfId="74"/>
    <tableColumn id="6" xr3:uid="{407A0038-7005-3046-869D-B81ECB8E9C74}" name="Mathematica" dataDxfId="73"/>
    <tableColumn id="15" xr3:uid="{C232A686-0218-CA4D-ACD0-EE9EE373AACA}" name="Skupaj" dataDxfId="72">
      <calculatedColumnFormula>SUM(Izpit1[[#This Row],[HTML]:[Mathematica]])</calculatedColumnFormula>
    </tableColumn>
  </tableColumns>
  <tableStyleInfo name="TableStyleLight1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593445-5AD6-0E4F-9C37-E190A8E4FF1F}" name="Izpit2" displayName="Izpit2" ref="B2:K42" totalsRowShown="0" headerRowDxfId="27" dataDxfId="26">
  <autoFilter ref="B2:K42" xr:uid="{8B89A2DC-1E78-DB4D-AE23-CFAA20FFF80E}"/>
  <tableColumns count="10">
    <tableColumn id="2" xr3:uid="{C05144E7-021E-D54F-AB18-28D79985CA41}" name="Vpisna" dataDxfId="25"/>
    <tableColumn id="1" xr3:uid="{9E06B9E6-776B-C245-81EE-89955BE2585E}" name="Program" dataDxfId="24">
      <calculatedColumnFormula>_xlfn.XLOOKUP(Izpit2[[#This Row],[Vpisna]],Rezultati[Vpisna],Rezultati[Program])</calculatedColumnFormula>
    </tableColumn>
    <tableColumn id="5" xr3:uid="{D6AE938A-E265-E64A-AB44-B8EB00730F7E}" name="Računalnik" dataDxfId="23"/>
    <tableColumn id="12" xr3:uid="{5258E17C-DA2E-9D40-8CAC-E7376FF29FBB}" name="Termin" dataDxfId="22"/>
    <tableColumn id="13" xr3:uid="{ADB8204F-CB96-4F4C-93FB-0BFD2EFD446B}" name="Učilnica" dataDxfId="21"/>
    <tableColumn id="9" xr3:uid="{3A08A3CB-606E-6E43-934F-3EC6BD1B18CE}" name="HTML" dataDxfId="20"/>
    <tableColumn id="8" xr3:uid="{04C1157E-F4A1-0A44-9456-5679E0E2B3D9}" name="LaTeX" dataDxfId="19"/>
    <tableColumn id="7" xr3:uid="{D049BA65-B887-C64A-AF9C-419CC17255C0}" name="Excel" dataDxfId="18"/>
    <tableColumn id="6" xr3:uid="{013D7596-C3A6-4642-B050-B0541310DABB}" name="Mathematica" dataDxfId="17"/>
    <tableColumn id="15" xr3:uid="{8127916E-7F24-DE4A-AE01-AA5BB8A1E028}" name="Skupaj" dataDxfId="16">
      <calculatedColumnFormula>SUM(Izpit2[[#This Row],[HTML]:[Mathematica]])</calculatedColumnFormula>
    </tableColumn>
  </tableColumns>
  <tableStyleInfo name="TableStyleLight1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CDBE38-607C-BD45-9561-9BD08104BBD6}" name="Izpit3" displayName="Izpit3" ref="B2:K12" totalsRowShown="0" headerRowDxfId="15" dataDxfId="14">
  <autoFilter ref="B2:K12" xr:uid="{8B89A2DC-1E78-DB4D-AE23-CFAA20FFF80E}"/>
  <tableColumns count="10">
    <tableColumn id="2" xr3:uid="{B390F574-0D98-A040-B1D7-8B0F668B3934}" name="Vpisna" dataDxfId="13"/>
    <tableColumn id="1" xr3:uid="{EB0B8687-6B98-C044-8BA3-B5459A1CE0D7}" name="Program" dataDxfId="12">
      <calculatedColumnFormula>_xlfn.XLOOKUP(Izpit3[[#This Row],[Vpisna]],Rezultati[Vpisna],Rezultati[Program])</calculatedColumnFormula>
    </tableColumn>
    <tableColumn id="5" xr3:uid="{04644E53-6DC1-C549-9FCD-38E38B956333}" name="Računalnik" dataDxfId="11"/>
    <tableColumn id="12" xr3:uid="{13DF9BDF-7FB1-2F45-9C42-6F7EACA86A28}" name="Termin" dataDxfId="10"/>
    <tableColumn id="13" xr3:uid="{488BA5DE-74ED-4E48-8F18-02081DA92877}" name="Učilnica" dataDxfId="9"/>
    <tableColumn id="9" xr3:uid="{DFBDA5D6-BDED-F24C-BDEC-D6E6138B0F33}" name="HTML" dataDxfId="8"/>
    <tableColumn id="8" xr3:uid="{86A7CE00-6FF7-5941-B63C-C2CB9A0A894B}" name="LaTeX" dataDxfId="7"/>
    <tableColumn id="7" xr3:uid="{75C98DA5-A238-A34A-95BF-ED1F13B24ADA}" name="Excel" dataDxfId="6"/>
    <tableColumn id="6" xr3:uid="{DA4E1656-D7B0-B244-82EF-74AA0B835DC1}" name="Mathematica" dataDxfId="5"/>
    <tableColumn id="15" xr3:uid="{DDCB3FF7-D7A5-104E-AFE8-DEF9E4D9834C}" name="Skupaj" dataDxfId="4">
      <calculatedColumnFormula>SUM(Izpit3[[#This Row],[HTML]:[Mathematica]])</calculatedColumnFormula>
    </tableColumn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7" dT="2025-02-10T08:25:58.57" personId="{7237B4ED-7E69-45F7-9E92-E2D236934969}" id="{13477D23-BF64-4630-A856-6DEAA8CC9DE2}">
    <text>oddala naknadno, med izpitom prazno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microsoft.com/office/2017/10/relationships/threadedComment" Target="../threadedComments/threadedComment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comments" Target="../comments1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5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5F6D-E6E4-B84D-A35D-AD0F90A94E85}">
  <sheetPr>
    <pageSetUpPr fitToPage="1"/>
  </sheetPr>
  <dimension ref="B2:W322"/>
  <sheetViews>
    <sheetView topLeftCell="A3" zoomScale="150" zoomScaleNormal="150" workbookViewId="0">
      <selection activeCell="D6" sqref="B3:P322"/>
    </sheetView>
  </sheetViews>
  <sheetFormatPr baseColWidth="10" defaultColWidth="11.5" defaultRowHeight="15" x14ac:dyDescent="0.2"/>
  <cols>
    <col min="1" max="1" width="16.6640625" bestFit="1" customWidth="1"/>
    <col min="2" max="2" width="9.1640625" style="1" bestFit="1" customWidth="1"/>
    <col min="3" max="3" width="10.1640625" style="1" bestFit="1" customWidth="1"/>
    <col min="4" max="4" width="6" style="1" bestFit="1" customWidth="1"/>
    <col min="5" max="5" width="8.5" style="1" bestFit="1" customWidth="1"/>
    <col min="6" max="7" width="11.6640625" style="1" bestFit="1" customWidth="1"/>
    <col min="8" max="8" width="8.5" style="1" bestFit="1" customWidth="1"/>
    <col min="9" max="10" width="11.6640625" style="1" bestFit="1" customWidth="1"/>
    <col min="11" max="11" width="8.5" style="1" bestFit="1" customWidth="1"/>
    <col min="12" max="12" width="11.6640625" style="1" bestFit="1" customWidth="1"/>
    <col min="13" max="13" width="7" style="1" bestFit="1" customWidth="1"/>
    <col min="14" max="14" width="8.33203125" style="1" bestFit="1" customWidth="1"/>
    <col min="15" max="15" width="8.6640625" style="1" bestFit="1" customWidth="1"/>
    <col min="16" max="16" width="8.5" bestFit="1" customWidth="1"/>
    <col min="17" max="17" width="8.33203125" bestFit="1" customWidth="1"/>
    <col min="18" max="18" width="6.6640625" bestFit="1" customWidth="1"/>
    <col min="19" max="19" width="7.5" bestFit="1" customWidth="1"/>
    <col min="20" max="20" width="6.1640625" bestFit="1" customWidth="1"/>
    <col min="21" max="21" width="7.33203125" bestFit="1" customWidth="1"/>
    <col min="22" max="22" width="6.6640625" bestFit="1" customWidth="1"/>
  </cols>
  <sheetData>
    <row r="2" spans="2:23" x14ac:dyDescent="0.2">
      <c r="B2" s="11" t="s">
        <v>29</v>
      </c>
      <c r="C2" t="s">
        <v>14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44</v>
      </c>
      <c r="N2" t="s">
        <v>45</v>
      </c>
      <c r="O2" t="s">
        <v>46</v>
      </c>
      <c r="P2" t="s">
        <v>47</v>
      </c>
      <c r="R2" t="s">
        <v>47</v>
      </c>
      <c r="S2" t="s">
        <v>9</v>
      </c>
      <c r="T2" t="s">
        <v>10</v>
      </c>
      <c r="U2" t="s">
        <v>11</v>
      </c>
      <c r="V2" t="s">
        <v>12</v>
      </c>
      <c r="W2" t="s">
        <v>13</v>
      </c>
    </row>
    <row r="3" spans="2:23" x14ac:dyDescent="0.2">
      <c r="B3">
        <v>27000001</v>
      </c>
      <c r="C3" t="s">
        <v>9</v>
      </c>
      <c r="D3">
        <f>_xlfn.IFNA(_xlfn.XLOOKUP(Rezultati[[#This Row],[Vpisna]], DomaceNaloge[Vpisna],DomaceNaloge[Skupaj]), 0)</f>
        <v>0</v>
      </c>
      <c r="E3" t="str">
        <f>_xlfn.IFNA(_xlfn.XLOOKUP(Rezultati[[#This Row],[Vpisna]], Izpit1[Vpisna],Izpit1[Skupaj]), "")</f>
        <v/>
      </c>
      <c r="F3" t="str">
        <f>_xlfn.IFNA(_xlfn.XLOOKUP(Rezultati[[#This Row],[Vpisna]], Izpit1[Vpisna],Izpit1[Računalnik]), "")</f>
        <v/>
      </c>
      <c r="G3" s="12" t="b">
        <v>0</v>
      </c>
      <c r="H3" t="str">
        <f>_xlfn.IFNA(_xlfn.XLOOKUP(Rezultati[[#This Row],[Vpisna]], Izpit2[Vpisna],Izpit2[Skupaj]), "")</f>
        <v/>
      </c>
      <c r="I3" t="str">
        <f>_xlfn.IFNA(_xlfn.XLOOKUP(Rezultati[[#This Row],[Vpisna]], Izpit2[Vpisna],Izpit2[Računalnik]), "")</f>
        <v/>
      </c>
      <c r="J3" s="12" t="b">
        <v>0</v>
      </c>
      <c r="K3" t="str">
        <f>_xlfn.IFNA(_xlfn.XLOOKUP(Rezultati[[#This Row],[Vpisna]], Izpit3[Vpisna],Izpit3[Skupaj]), "")</f>
        <v/>
      </c>
      <c r="L3" s="12" t="b">
        <v>0</v>
      </c>
      <c r="M3">
        <f>MAX(Rezultati[[#This Row],[1.izpit]],Rezultati[[#This Row],[2.izpit]],Rezultati[[#This Row],[3.izpit]])</f>
        <v>0</v>
      </c>
      <c r="N3"/>
      <c r="O3">
        <f>Rezultati[[#This Row],[DN]]+Rezultati[[#This Row],[Max]]+Rezultati[[#This Row],[Bonus]]</f>
        <v>0</v>
      </c>
      <c r="P3" t="str" cm="1">
        <f t="array" ref="P3">_xlfn.XLOOKUP(Rezultati[[#This Row],[Skupaj]],_xlfn.XLOOKUP(Rezultati[[#This Row],[Program]],Kriterij[[#Headers],[APF]:[PED]],Kriterij[[APF]:[PED]]), Kriterij[Ocena], "", -1, 2)</f>
        <v/>
      </c>
      <c r="R3">
        <v>5</v>
      </c>
      <c r="S3">
        <v>1</v>
      </c>
      <c r="T3">
        <v>1</v>
      </c>
      <c r="U3">
        <v>1</v>
      </c>
      <c r="V3">
        <v>1</v>
      </c>
      <c r="W3">
        <v>1</v>
      </c>
    </row>
    <row r="4" spans="2:23" x14ac:dyDescent="0.2">
      <c r="B4">
        <v>27000002</v>
      </c>
      <c r="C4" t="s">
        <v>11</v>
      </c>
      <c r="D4">
        <f>_xlfn.IFNA(_xlfn.XLOOKUP(Rezultati[[#This Row],[Vpisna]], DomaceNaloge[Vpisna],DomaceNaloge[Skupaj]), 0)</f>
        <v>8</v>
      </c>
      <c r="E4" t="str">
        <f>_xlfn.IFNA(_xlfn.XLOOKUP(Rezultati[[#This Row],[Vpisna]], Izpit1[Vpisna],Izpit1[Skupaj]), "")</f>
        <v/>
      </c>
      <c r="F4" t="str">
        <f>_xlfn.IFNA(_xlfn.XLOOKUP(Rezultati[[#This Row],[Vpisna]], Izpit1[Vpisna],Izpit1[Računalnik]), "")</f>
        <v/>
      </c>
      <c r="G4" s="12" t="b">
        <v>0</v>
      </c>
      <c r="H4" t="str">
        <f>_xlfn.IFNA(_xlfn.XLOOKUP(Rezultati[[#This Row],[Vpisna]], Izpit2[Vpisna],Izpit2[Skupaj]), "")</f>
        <v/>
      </c>
      <c r="I4" t="str">
        <f>_xlfn.IFNA(_xlfn.XLOOKUP(Rezultati[[#This Row],[Vpisna]], Izpit2[Vpisna],Izpit2[Računalnik]), "")</f>
        <v/>
      </c>
      <c r="J4" s="12" t="b">
        <v>0</v>
      </c>
      <c r="K4">
        <f>_xlfn.IFNA(_xlfn.XLOOKUP(Rezultati[[#This Row],[Vpisna]], Izpit3[Vpisna],Izpit3[Skupaj]), "")</f>
        <v>72</v>
      </c>
      <c r="L4" s="12" t="b">
        <v>1</v>
      </c>
      <c r="M4">
        <f>MAX(Rezultati[[#This Row],[1.izpit]],Rezultati[[#This Row],[2.izpit]],Rezultati[[#This Row],[3.izpit]])</f>
        <v>72</v>
      </c>
      <c r="N4"/>
      <c r="O4">
        <f>Rezultati[[#This Row],[DN]]+Rezultati[[#This Row],[Max]]+Rezultati[[#This Row],[Bonus]]</f>
        <v>80</v>
      </c>
      <c r="P4" cm="1">
        <f t="array" ref="P4">_xlfn.XLOOKUP(Rezultati[[#This Row],[Skupaj]],_xlfn.XLOOKUP(Rezultati[[#This Row],[Program]],Kriterij[[#Headers],[APF]:[PED]],Kriterij[[APF]:[PED]]), Kriterij[Ocena], "", -1, 2)</f>
        <v>9</v>
      </c>
      <c r="R4">
        <v>6</v>
      </c>
      <c r="S4">
        <v>50</v>
      </c>
      <c r="T4">
        <v>50</v>
      </c>
      <c r="U4">
        <v>50</v>
      </c>
      <c r="V4">
        <v>50</v>
      </c>
      <c r="W4">
        <v>45</v>
      </c>
    </row>
    <row r="5" spans="2:23" x14ac:dyDescent="0.2">
      <c r="B5">
        <v>27000003</v>
      </c>
      <c r="C5" t="s">
        <v>9</v>
      </c>
      <c r="D5">
        <f>_xlfn.IFNA(_xlfn.XLOOKUP(Rezultati[[#This Row],[Vpisna]], DomaceNaloge[Vpisna],DomaceNaloge[Skupaj]), 0)</f>
        <v>0</v>
      </c>
      <c r="E5" t="str">
        <f>_xlfn.IFNA(_xlfn.XLOOKUP(Rezultati[[#This Row],[Vpisna]], Izpit1[Vpisna],Izpit1[Skupaj]), "")</f>
        <v/>
      </c>
      <c r="F5" t="str">
        <f>_xlfn.IFNA(_xlfn.XLOOKUP(Rezultati[[#This Row],[Vpisna]], Izpit1[Vpisna],Izpit1[Računalnik]), "")</f>
        <v/>
      </c>
      <c r="G5" s="12" t="b">
        <v>0</v>
      </c>
      <c r="H5" t="str">
        <f>_xlfn.IFNA(_xlfn.XLOOKUP(Rezultati[[#This Row],[Vpisna]], Izpit2[Vpisna],Izpit2[Skupaj]), "")</f>
        <v/>
      </c>
      <c r="I5" t="str">
        <f>_xlfn.IFNA(_xlfn.XLOOKUP(Rezultati[[#This Row],[Vpisna]], Izpit2[Vpisna],Izpit2[Računalnik]), "")</f>
        <v/>
      </c>
      <c r="J5" s="12" t="b">
        <v>0</v>
      </c>
      <c r="K5" t="str">
        <f>_xlfn.IFNA(_xlfn.XLOOKUP(Rezultati[[#This Row],[Vpisna]], Izpit3[Vpisna],Izpit3[Skupaj]), "")</f>
        <v/>
      </c>
      <c r="L5" s="12" t="b">
        <v>0</v>
      </c>
      <c r="M5">
        <f>MAX(Rezultati[[#This Row],[1.izpit]],Rezultati[[#This Row],[2.izpit]],Rezultati[[#This Row],[3.izpit]])</f>
        <v>0</v>
      </c>
      <c r="N5"/>
      <c r="O5">
        <f>Rezultati[[#This Row],[DN]]+Rezultati[[#This Row],[Max]]+Rezultati[[#This Row],[Bonus]]</f>
        <v>0</v>
      </c>
      <c r="P5" t="str" cm="1">
        <f t="array" ref="P5">_xlfn.XLOOKUP(Rezultati[[#This Row],[Skupaj]],_xlfn.XLOOKUP(Rezultati[[#This Row],[Program]],Kriterij[[#Headers],[APF]:[PED]],Kriterij[[APF]:[PED]]), Kriterij[Ocena], "", -1, 2)</f>
        <v/>
      </c>
      <c r="R5">
        <v>7</v>
      </c>
      <c r="S5">
        <v>60</v>
      </c>
      <c r="T5">
        <v>60</v>
      </c>
      <c r="U5">
        <v>60</v>
      </c>
      <c r="V5">
        <v>60</v>
      </c>
      <c r="W5">
        <v>55</v>
      </c>
    </row>
    <row r="6" spans="2:23" x14ac:dyDescent="0.2">
      <c r="B6">
        <v>27000004</v>
      </c>
      <c r="C6" t="s">
        <v>9</v>
      </c>
      <c r="D6">
        <f>_xlfn.IFNA(_xlfn.XLOOKUP(Rezultati[[#This Row],[Vpisna]], DomaceNaloge[Vpisna],DomaceNaloge[Skupaj]), 0)</f>
        <v>0</v>
      </c>
      <c r="E6" t="str">
        <f>_xlfn.IFNA(_xlfn.XLOOKUP(Rezultati[[#This Row],[Vpisna]], Izpit1[Vpisna],Izpit1[Skupaj]), "")</f>
        <v/>
      </c>
      <c r="F6" t="str">
        <f>_xlfn.IFNA(_xlfn.XLOOKUP(Rezultati[[#This Row],[Vpisna]], Izpit1[Vpisna],Izpit1[Računalnik]), "")</f>
        <v/>
      </c>
      <c r="G6" s="12" t="b">
        <v>0</v>
      </c>
      <c r="H6" t="str">
        <f>_xlfn.IFNA(_xlfn.XLOOKUP(Rezultati[[#This Row],[Vpisna]], Izpit2[Vpisna],Izpit2[Skupaj]), "")</f>
        <v/>
      </c>
      <c r="I6" t="str">
        <f>_xlfn.IFNA(_xlfn.XLOOKUP(Rezultati[[#This Row],[Vpisna]], Izpit2[Vpisna],Izpit2[Računalnik]), "")</f>
        <v/>
      </c>
      <c r="J6" s="12" t="b">
        <v>0</v>
      </c>
      <c r="K6" t="str">
        <f>_xlfn.IFNA(_xlfn.XLOOKUP(Rezultati[[#This Row],[Vpisna]], Izpit3[Vpisna],Izpit3[Skupaj]), "")</f>
        <v/>
      </c>
      <c r="L6" s="12" t="b">
        <v>0</v>
      </c>
      <c r="M6">
        <f>MAX(Rezultati[[#This Row],[1.izpit]],Rezultati[[#This Row],[2.izpit]],Rezultati[[#This Row],[3.izpit]])</f>
        <v>0</v>
      </c>
      <c r="N6"/>
      <c r="O6">
        <f>Rezultati[[#This Row],[DN]]+Rezultati[[#This Row],[Max]]+Rezultati[[#This Row],[Bonus]]</f>
        <v>0</v>
      </c>
      <c r="P6" t="str" cm="1">
        <f t="array" ref="P6">_xlfn.XLOOKUP(Rezultati[[#This Row],[Skupaj]],_xlfn.XLOOKUP(Rezultati[[#This Row],[Program]],Kriterij[[#Headers],[APF]:[PED]],Kriterij[[APF]:[PED]]), Kriterij[Ocena], "", -1, 2)</f>
        <v/>
      </c>
      <c r="R6">
        <v>8</v>
      </c>
      <c r="S6">
        <v>70</v>
      </c>
      <c r="T6">
        <v>70</v>
      </c>
      <c r="U6">
        <v>70</v>
      </c>
      <c r="V6">
        <v>70</v>
      </c>
      <c r="W6">
        <v>65</v>
      </c>
    </row>
    <row r="7" spans="2:23" x14ac:dyDescent="0.2">
      <c r="B7">
        <v>27000005</v>
      </c>
      <c r="C7" t="s">
        <v>9</v>
      </c>
      <c r="D7">
        <f>_xlfn.IFNA(_xlfn.XLOOKUP(Rezultati[[#This Row],[Vpisna]], DomaceNaloge[Vpisna],DomaceNaloge[Skupaj]), 0)</f>
        <v>0</v>
      </c>
      <c r="E7" t="str">
        <f>_xlfn.IFNA(_xlfn.XLOOKUP(Rezultati[[#This Row],[Vpisna]], Izpit1[Vpisna],Izpit1[Skupaj]), "")</f>
        <v/>
      </c>
      <c r="F7" t="str">
        <f>_xlfn.IFNA(_xlfn.XLOOKUP(Rezultati[[#This Row],[Vpisna]], Izpit1[Vpisna],Izpit1[Računalnik]), "")</f>
        <v/>
      </c>
      <c r="G7" s="12" t="b">
        <v>0</v>
      </c>
      <c r="H7" t="str">
        <f>_xlfn.IFNA(_xlfn.XLOOKUP(Rezultati[[#This Row],[Vpisna]], Izpit2[Vpisna],Izpit2[Skupaj]), "")</f>
        <v/>
      </c>
      <c r="I7" t="str">
        <f>_xlfn.IFNA(_xlfn.XLOOKUP(Rezultati[[#This Row],[Vpisna]], Izpit2[Vpisna],Izpit2[Računalnik]), "")</f>
        <v/>
      </c>
      <c r="J7" s="12" t="b">
        <v>0</v>
      </c>
      <c r="K7" t="str">
        <f>_xlfn.IFNA(_xlfn.XLOOKUP(Rezultati[[#This Row],[Vpisna]], Izpit3[Vpisna],Izpit3[Skupaj]), "")</f>
        <v/>
      </c>
      <c r="L7" s="12" t="b">
        <v>0</v>
      </c>
      <c r="M7">
        <f>MAX(Rezultati[[#This Row],[1.izpit]],Rezultati[[#This Row],[2.izpit]],Rezultati[[#This Row],[3.izpit]])</f>
        <v>0</v>
      </c>
      <c r="N7"/>
      <c r="O7">
        <f>Rezultati[[#This Row],[DN]]+Rezultati[[#This Row],[Max]]+Rezultati[[#This Row],[Bonus]]</f>
        <v>0</v>
      </c>
      <c r="P7" t="str" cm="1">
        <f t="array" ref="P7">_xlfn.XLOOKUP(Rezultati[[#This Row],[Skupaj]],_xlfn.XLOOKUP(Rezultati[[#This Row],[Program]],Kriterij[[#Headers],[APF]:[PED]],Kriterij[[APF]:[PED]]), Kriterij[Ocena], "", -1, 2)</f>
        <v/>
      </c>
      <c r="R7">
        <v>9</v>
      </c>
      <c r="S7">
        <v>80</v>
      </c>
      <c r="T7">
        <v>80</v>
      </c>
      <c r="U7">
        <v>80</v>
      </c>
      <c r="V7">
        <v>80</v>
      </c>
      <c r="W7">
        <v>75</v>
      </c>
    </row>
    <row r="8" spans="2:23" x14ac:dyDescent="0.2">
      <c r="B8">
        <v>27000006</v>
      </c>
      <c r="C8" t="s">
        <v>9</v>
      </c>
      <c r="D8">
        <f>_xlfn.IFNA(_xlfn.XLOOKUP(Rezultati[[#This Row],[Vpisna]], DomaceNaloge[Vpisna],DomaceNaloge[Skupaj]), 0)</f>
        <v>4</v>
      </c>
      <c r="E8" t="str">
        <f>_xlfn.IFNA(_xlfn.XLOOKUP(Rezultati[[#This Row],[Vpisna]], Izpit1[Vpisna],Izpit1[Skupaj]), "")</f>
        <v/>
      </c>
      <c r="F8" t="str">
        <f>_xlfn.IFNA(_xlfn.XLOOKUP(Rezultati[[#This Row],[Vpisna]], Izpit1[Vpisna],Izpit1[Računalnik]), "")</f>
        <v/>
      </c>
      <c r="G8" s="12" t="b">
        <v>0</v>
      </c>
      <c r="H8" t="str">
        <f>_xlfn.IFNA(_xlfn.XLOOKUP(Rezultati[[#This Row],[Vpisna]], Izpit2[Vpisna],Izpit2[Skupaj]), "")</f>
        <v/>
      </c>
      <c r="I8" t="str">
        <f>_xlfn.IFNA(_xlfn.XLOOKUP(Rezultati[[#This Row],[Vpisna]], Izpit2[Vpisna],Izpit2[Računalnik]), "")</f>
        <v/>
      </c>
      <c r="J8" s="12" t="b">
        <v>1</v>
      </c>
      <c r="K8" t="str">
        <f>_xlfn.IFNA(_xlfn.XLOOKUP(Rezultati[[#This Row],[Vpisna]], Izpit3[Vpisna],Izpit3[Skupaj]), "")</f>
        <v/>
      </c>
      <c r="L8" s="12" t="b">
        <v>0</v>
      </c>
      <c r="M8">
        <f>MAX(Rezultati[[#This Row],[1.izpit]],Rezultati[[#This Row],[2.izpit]],Rezultati[[#This Row],[3.izpit]])</f>
        <v>0</v>
      </c>
      <c r="N8"/>
      <c r="O8">
        <f>Rezultati[[#This Row],[DN]]+Rezultati[[#This Row],[Max]]+Rezultati[[#This Row],[Bonus]]</f>
        <v>4</v>
      </c>
      <c r="P8" cm="1">
        <f t="array" ref="P8">_xlfn.XLOOKUP(Rezultati[[#This Row],[Skupaj]],_xlfn.XLOOKUP(Rezultati[[#This Row],[Program]],Kriterij[[#Headers],[APF]:[PED]],Kriterij[[APF]:[PED]]), Kriterij[Ocena], "", -1, 2)</f>
        <v>5</v>
      </c>
      <c r="R8">
        <v>10</v>
      </c>
      <c r="S8">
        <v>90</v>
      </c>
      <c r="T8">
        <v>90</v>
      </c>
      <c r="U8">
        <v>90</v>
      </c>
      <c r="V8">
        <v>90</v>
      </c>
      <c r="W8">
        <v>85</v>
      </c>
    </row>
    <row r="9" spans="2:23" x14ac:dyDescent="0.2">
      <c r="B9">
        <v>27000007</v>
      </c>
      <c r="C9" t="s">
        <v>12</v>
      </c>
      <c r="D9">
        <f>_xlfn.IFNA(_xlfn.XLOOKUP(Rezultati[[#This Row],[Vpisna]], DomaceNaloge[Vpisna],DomaceNaloge[Skupaj]), 0)</f>
        <v>5</v>
      </c>
      <c r="E9">
        <f>_xlfn.IFNA(_xlfn.XLOOKUP(Rezultati[[#This Row],[Vpisna]], Izpit1[Vpisna],Izpit1[Skupaj]), "")</f>
        <v>25</v>
      </c>
      <c r="F9" t="str">
        <f>_xlfn.IFNA(_xlfn.XLOOKUP(Rezultati[[#This Row],[Vpisna]], Izpit1[Vpisna],Izpit1[Računalnik]), "")</f>
        <v>šolski</v>
      </c>
      <c r="G9" s="12" t="b">
        <v>1</v>
      </c>
      <c r="H9" t="str">
        <f>_xlfn.IFNA(_xlfn.XLOOKUP(Rezultati[[#This Row],[Vpisna]], Izpit2[Vpisna],Izpit2[Skupaj]), "")</f>
        <v/>
      </c>
      <c r="I9" t="str">
        <f>_xlfn.IFNA(_xlfn.XLOOKUP(Rezultati[[#This Row],[Vpisna]], Izpit2[Vpisna],Izpit2[Računalnik]), "")</f>
        <v/>
      </c>
      <c r="J9" s="12" t="b">
        <v>0</v>
      </c>
      <c r="K9">
        <f>_xlfn.IFNA(_xlfn.XLOOKUP(Rezultati[[#This Row],[Vpisna]], Izpit3[Vpisna],Izpit3[Skupaj]), "")</f>
        <v>52</v>
      </c>
      <c r="L9" s="12" t="b">
        <v>1</v>
      </c>
      <c r="M9">
        <f>MAX(Rezultati[[#This Row],[1.izpit]],Rezultati[[#This Row],[2.izpit]],Rezultati[[#This Row],[3.izpit]])</f>
        <v>52</v>
      </c>
      <c r="N9"/>
      <c r="O9">
        <f>Rezultati[[#This Row],[DN]]+Rezultati[[#This Row],[Max]]+Rezultati[[#This Row],[Bonus]]</f>
        <v>57</v>
      </c>
      <c r="P9" cm="1">
        <f t="array" ref="P9">_xlfn.XLOOKUP(Rezultati[[#This Row],[Skupaj]],_xlfn.XLOOKUP(Rezultati[[#This Row],[Program]],Kriterij[[#Headers],[APF]:[PED]],Kriterij[[APF]:[PED]]), Kriterij[Ocena], "", -1, 2)</f>
        <v>6</v>
      </c>
    </row>
    <row r="10" spans="2:23" x14ac:dyDescent="0.2">
      <c r="B10">
        <v>27000008</v>
      </c>
      <c r="C10" t="s">
        <v>9</v>
      </c>
      <c r="D10">
        <f>_xlfn.IFNA(_xlfn.XLOOKUP(Rezultati[[#This Row],[Vpisna]], DomaceNaloge[Vpisna],DomaceNaloge[Skupaj]), 0)</f>
        <v>0</v>
      </c>
      <c r="E10" t="str">
        <f>_xlfn.IFNA(_xlfn.XLOOKUP(Rezultati[[#This Row],[Vpisna]], Izpit1[Vpisna],Izpit1[Skupaj]), "")</f>
        <v/>
      </c>
      <c r="F10" t="str">
        <f>_xlfn.IFNA(_xlfn.XLOOKUP(Rezultati[[#This Row],[Vpisna]], Izpit1[Vpisna],Izpit1[Računalnik]), "")</f>
        <v/>
      </c>
      <c r="G10" s="12" t="b">
        <v>0</v>
      </c>
      <c r="H10" t="str">
        <f>_xlfn.IFNA(_xlfn.XLOOKUP(Rezultati[[#This Row],[Vpisna]], Izpit2[Vpisna],Izpit2[Skupaj]), "")</f>
        <v/>
      </c>
      <c r="I10" t="str">
        <f>_xlfn.IFNA(_xlfn.XLOOKUP(Rezultati[[#This Row],[Vpisna]], Izpit2[Vpisna],Izpit2[Računalnik]), "")</f>
        <v/>
      </c>
      <c r="J10" s="12" t="b">
        <v>0</v>
      </c>
      <c r="K10" t="str">
        <f>_xlfn.IFNA(_xlfn.XLOOKUP(Rezultati[[#This Row],[Vpisna]], Izpit3[Vpisna],Izpit3[Skupaj]), "")</f>
        <v/>
      </c>
      <c r="L10" s="12" t="b">
        <v>0</v>
      </c>
      <c r="M10">
        <f>MAX(Rezultati[[#This Row],[1.izpit]],Rezultati[[#This Row],[2.izpit]],Rezultati[[#This Row],[3.izpit]])</f>
        <v>0</v>
      </c>
      <c r="N10"/>
      <c r="O10">
        <f>Rezultati[[#This Row],[DN]]+Rezultati[[#This Row],[Max]]+Rezultati[[#This Row],[Bonus]]</f>
        <v>0</v>
      </c>
      <c r="P10" t="str" cm="1">
        <f t="array" ref="P10">_xlfn.XLOOKUP(Rezultati[[#This Row],[Skupaj]],_xlfn.XLOOKUP(Rezultati[[#This Row],[Program]],Kriterij[[#Headers],[APF]:[PED]],Kriterij[[APF]:[PED]]), Kriterij[Ocena], "", -1, 2)</f>
        <v/>
      </c>
    </row>
    <row r="11" spans="2:23" x14ac:dyDescent="0.2">
      <c r="B11">
        <v>27000009</v>
      </c>
      <c r="C11" t="s">
        <v>9</v>
      </c>
      <c r="D11">
        <f>_xlfn.IFNA(_xlfn.XLOOKUP(Rezultati[[#This Row],[Vpisna]], DomaceNaloge[Vpisna],DomaceNaloge[Skupaj]), 0)</f>
        <v>0</v>
      </c>
      <c r="E11" t="str">
        <f>_xlfn.IFNA(_xlfn.XLOOKUP(Rezultati[[#This Row],[Vpisna]], Izpit1[Vpisna],Izpit1[Skupaj]), "")</f>
        <v/>
      </c>
      <c r="F11" t="str">
        <f>_xlfn.IFNA(_xlfn.XLOOKUP(Rezultati[[#This Row],[Vpisna]], Izpit1[Vpisna],Izpit1[Računalnik]), "")</f>
        <v/>
      </c>
      <c r="G11" s="12" t="b">
        <v>0</v>
      </c>
      <c r="H11" t="str">
        <f>_xlfn.IFNA(_xlfn.XLOOKUP(Rezultati[[#This Row],[Vpisna]], Izpit2[Vpisna],Izpit2[Skupaj]), "")</f>
        <v/>
      </c>
      <c r="I11" t="str">
        <f>_xlfn.IFNA(_xlfn.XLOOKUP(Rezultati[[#This Row],[Vpisna]], Izpit2[Vpisna],Izpit2[Računalnik]), "")</f>
        <v/>
      </c>
      <c r="J11" s="12" t="b">
        <v>0</v>
      </c>
      <c r="K11" t="str">
        <f>_xlfn.IFNA(_xlfn.XLOOKUP(Rezultati[[#This Row],[Vpisna]], Izpit3[Vpisna],Izpit3[Skupaj]), "")</f>
        <v/>
      </c>
      <c r="L11" s="12" t="b">
        <v>0</v>
      </c>
      <c r="M11">
        <f>MAX(Rezultati[[#This Row],[1.izpit]],Rezultati[[#This Row],[2.izpit]],Rezultati[[#This Row],[3.izpit]])</f>
        <v>0</v>
      </c>
      <c r="N11"/>
      <c r="O11">
        <f>Rezultati[[#This Row],[DN]]+Rezultati[[#This Row],[Max]]+Rezultati[[#This Row],[Bonus]]</f>
        <v>0</v>
      </c>
      <c r="P11" t="str" cm="1">
        <f t="array" ref="P11">_xlfn.XLOOKUP(Rezultati[[#This Row],[Skupaj]],_xlfn.XLOOKUP(Rezultati[[#This Row],[Program]],Kriterij[[#Headers],[APF]:[PED]],Kriterij[[APF]:[PED]]), Kriterij[Ocena], "", -1, 2)</f>
        <v/>
      </c>
    </row>
    <row r="12" spans="2:23" x14ac:dyDescent="0.2">
      <c r="B12">
        <v>27000010</v>
      </c>
      <c r="C12" t="s">
        <v>9</v>
      </c>
      <c r="D12">
        <f>_xlfn.IFNA(_xlfn.XLOOKUP(Rezultati[[#This Row],[Vpisna]], DomaceNaloge[Vpisna],DomaceNaloge[Skupaj]), 0)</f>
        <v>6</v>
      </c>
      <c r="E12" t="str">
        <f>_xlfn.IFNA(_xlfn.XLOOKUP(Rezultati[[#This Row],[Vpisna]], Izpit1[Vpisna],Izpit1[Skupaj]), "")</f>
        <v/>
      </c>
      <c r="F12" t="str">
        <f>_xlfn.IFNA(_xlfn.XLOOKUP(Rezultati[[#This Row],[Vpisna]], Izpit1[Vpisna],Izpit1[Računalnik]), "")</f>
        <v/>
      </c>
      <c r="G12" s="12" t="b">
        <v>0</v>
      </c>
      <c r="H12" t="str">
        <f>_xlfn.IFNA(_xlfn.XLOOKUP(Rezultati[[#This Row],[Vpisna]], Izpit2[Vpisna],Izpit2[Skupaj]), "")</f>
        <v/>
      </c>
      <c r="I12" t="str">
        <f>_xlfn.IFNA(_xlfn.XLOOKUP(Rezultati[[#This Row],[Vpisna]], Izpit2[Vpisna],Izpit2[Računalnik]), "")</f>
        <v/>
      </c>
      <c r="J12" s="12" t="b">
        <v>0</v>
      </c>
      <c r="K12" t="str">
        <f>_xlfn.IFNA(_xlfn.XLOOKUP(Rezultati[[#This Row],[Vpisna]], Izpit3[Vpisna],Izpit3[Skupaj]), "")</f>
        <v/>
      </c>
      <c r="L12" s="12" t="b">
        <v>0</v>
      </c>
      <c r="M12">
        <f>MAX(Rezultati[[#This Row],[1.izpit]],Rezultati[[#This Row],[2.izpit]],Rezultati[[#This Row],[3.izpit]])</f>
        <v>0</v>
      </c>
      <c r="N12"/>
      <c r="O12">
        <f>Rezultati[[#This Row],[DN]]+Rezultati[[#This Row],[Max]]+Rezultati[[#This Row],[Bonus]]</f>
        <v>6</v>
      </c>
      <c r="P12" cm="1">
        <f t="array" ref="P12">_xlfn.XLOOKUP(Rezultati[[#This Row],[Skupaj]],_xlfn.XLOOKUP(Rezultati[[#This Row],[Program]],Kriterij[[#Headers],[APF]:[PED]],Kriterij[[APF]:[PED]]), Kriterij[Ocena], "", -1, 2)</f>
        <v>5</v>
      </c>
    </row>
    <row r="13" spans="2:23" x14ac:dyDescent="0.2">
      <c r="B13">
        <v>27000011</v>
      </c>
      <c r="C13" t="s">
        <v>9</v>
      </c>
      <c r="D13">
        <f>_xlfn.IFNA(_xlfn.XLOOKUP(Rezultati[[#This Row],[Vpisna]], DomaceNaloge[Vpisna],DomaceNaloge[Skupaj]), 0)</f>
        <v>0</v>
      </c>
      <c r="E13" t="str">
        <f>_xlfn.IFNA(_xlfn.XLOOKUP(Rezultati[[#This Row],[Vpisna]], Izpit1[Vpisna],Izpit1[Skupaj]), "")</f>
        <v/>
      </c>
      <c r="F13" t="str">
        <f>_xlfn.IFNA(_xlfn.XLOOKUP(Rezultati[[#This Row],[Vpisna]], Izpit1[Vpisna],Izpit1[Računalnik]), "")</f>
        <v/>
      </c>
      <c r="G13" s="12" t="b">
        <v>0</v>
      </c>
      <c r="H13" t="str">
        <f>_xlfn.IFNA(_xlfn.XLOOKUP(Rezultati[[#This Row],[Vpisna]], Izpit2[Vpisna],Izpit2[Skupaj]), "")</f>
        <v/>
      </c>
      <c r="I13" t="str">
        <f>_xlfn.IFNA(_xlfn.XLOOKUP(Rezultati[[#This Row],[Vpisna]], Izpit2[Vpisna],Izpit2[Računalnik]), "")</f>
        <v/>
      </c>
      <c r="J13" s="12" t="b">
        <v>0</v>
      </c>
      <c r="K13" t="str">
        <f>_xlfn.IFNA(_xlfn.XLOOKUP(Rezultati[[#This Row],[Vpisna]], Izpit3[Vpisna],Izpit3[Skupaj]), "")</f>
        <v/>
      </c>
      <c r="L13" s="12" t="b">
        <v>0</v>
      </c>
      <c r="M13">
        <f>MAX(Rezultati[[#This Row],[1.izpit]],Rezultati[[#This Row],[2.izpit]],Rezultati[[#This Row],[3.izpit]])</f>
        <v>0</v>
      </c>
      <c r="N13"/>
      <c r="O13">
        <f>Rezultati[[#This Row],[DN]]+Rezultati[[#This Row],[Max]]+Rezultati[[#This Row],[Bonus]]</f>
        <v>0</v>
      </c>
      <c r="P13" t="str" cm="1">
        <f t="array" ref="P13">_xlfn.XLOOKUP(Rezultati[[#This Row],[Skupaj]],_xlfn.XLOOKUP(Rezultati[[#This Row],[Program]],Kriterij[[#Headers],[APF]:[PED]],Kriterij[[APF]:[PED]]), Kriterij[Ocena], "", -1, 2)</f>
        <v/>
      </c>
    </row>
    <row r="14" spans="2:23" x14ac:dyDescent="0.2">
      <c r="B14">
        <v>27000012</v>
      </c>
      <c r="C14" t="s">
        <v>9</v>
      </c>
      <c r="D14">
        <f>_xlfn.IFNA(_xlfn.XLOOKUP(Rezultati[[#This Row],[Vpisna]], DomaceNaloge[Vpisna],DomaceNaloge[Skupaj]), 0)</f>
        <v>0</v>
      </c>
      <c r="E14" t="str">
        <f>_xlfn.IFNA(_xlfn.XLOOKUP(Rezultati[[#This Row],[Vpisna]], Izpit1[Vpisna],Izpit1[Skupaj]), "")</f>
        <v/>
      </c>
      <c r="F14" t="str">
        <f>_xlfn.IFNA(_xlfn.XLOOKUP(Rezultati[[#This Row],[Vpisna]], Izpit1[Vpisna],Izpit1[Računalnik]), "")</f>
        <v/>
      </c>
      <c r="G14" s="12" t="b">
        <v>0</v>
      </c>
      <c r="H14" t="str">
        <f>_xlfn.IFNA(_xlfn.XLOOKUP(Rezultati[[#This Row],[Vpisna]], Izpit2[Vpisna],Izpit2[Skupaj]), "")</f>
        <v/>
      </c>
      <c r="I14" t="str">
        <f>_xlfn.IFNA(_xlfn.XLOOKUP(Rezultati[[#This Row],[Vpisna]], Izpit2[Vpisna],Izpit2[Računalnik]), "")</f>
        <v/>
      </c>
      <c r="J14" s="12" t="b">
        <v>0</v>
      </c>
      <c r="K14" t="str">
        <f>_xlfn.IFNA(_xlfn.XLOOKUP(Rezultati[[#This Row],[Vpisna]], Izpit3[Vpisna],Izpit3[Skupaj]), "")</f>
        <v/>
      </c>
      <c r="L14" s="12" t="b">
        <v>0</v>
      </c>
      <c r="M14">
        <f>MAX(Rezultati[[#This Row],[1.izpit]],Rezultati[[#This Row],[2.izpit]],Rezultati[[#This Row],[3.izpit]])</f>
        <v>0</v>
      </c>
      <c r="N14"/>
      <c r="O14">
        <f>Rezultati[[#This Row],[DN]]+Rezultati[[#This Row],[Max]]+Rezultati[[#This Row],[Bonus]]</f>
        <v>0</v>
      </c>
      <c r="P14" t="str" cm="1">
        <f t="array" ref="P14">_xlfn.XLOOKUP(Rezultati[[#This Row],[Skupaj]],_xlfn.XLOOKUP(Rezultati[[#This Row],[Program]],Kriterij[[#Headers],[APF]:[PED]],Kriterij[[APF]:[PED]]), Kriterij[Ocena], "", -1, 2)</f>
        <v/>
      </c>
    </row>
    <row r="15" spans="2:23" x14ac:dyDescent="0.2">
      <c r="B15">
        <v>27000013</v>
      </c>
      <c r="C15" t="s">
        <v>9</v>
      </c>
      <c r="D15">
        <f>_xlfn.IFNA(_xlfn.XLOOKUP(Rezultati[[#This Row],[Vpisna]], DomaceNaloge[Vpisna],DomaceNaloge[Skupaj]), 0)</f>
        <v>0</v>
      </c>
      <c r="E15" t="str">
        <f>_xlfn.IFNA(_xlfn.XLOOKUP(Rezultati[[#This Row],[Vpisna]], Izpit1[Vpisna],Izpit1[Skupaj]), "")</f>
        <v/>
      </c>
      <c r="F15" t="str">
        <f>_xlfn.IFNA(_xlfn.XLOOKUP(Rezultati[[#This Row],[Vpisna]], Izpit1[Vpisna],Izpit1[Računalnik]), "")</f>
        <v/>
      </c>
      <c r="G15" s="12" t="b">
        <v>0</v>
      </c>
      <c r="H15" t="str">
        <f>_xlfn.IFNA(_xlfn.XLOOKUP(Rezultati[[#This Row],[Vpisna]], Izpit2[Vpisna],Izpit2[Skupaj]), "")</f>
        <v/>
      </c>
      <c r="I15" t="str">
        <f>_xlfn.IFNA(_xlfn.XLOOKUP(Rezultati[[#This Row],[Vpisna]], Izpit2[Vpisna],Izpit2[Računalnik]), "")</f>
        <v/>
      </c>
      <c r="J15" s="12" t="b">
        <v>0</v>
      </c>
      <c r="K15" t="str">
        <f>_xlfn.IFNA(_xlfn.XLOOKUP(Rezultati[[#This Row],[Vpisna]], Izpit3[Vpisna],Izpit3[Skupaj]), "")</f>
        <v/>
      </c>
      <c r="L15" s="12" t="b">
        <v>0</v>
      </c>
      <c r="M15">
        <f>MAX(Rezultati[[#This Row],[1.izpit]],Rezultati[[#This Row],[2.izpit]],Rezultati[[#This Row],[3.izpit]])</f>
        <v>0</v>
      </c>
      <c r="N15"/>
      <c r="O15">
        <f>Rezultati[[#This Row],[DN]]+Rezultati[[#This Row],[Max]]+Rezultati[[#This Row],[Bonus]]</f>
        <v>0</v>
      </c>
      <c r="P15" t="str" cm="1">
        <f t="array" ref="P15">_xlfn.XLOOKUP(Rezultati[[#This Row],[Skupaj]],_xlfn.XLOOKUP(Rezultati[[#This Row],[Program]],Kriterij[[#Headers],[APF]:[PED]],Kriterij[[APF]:[PED]]), Kriterij[Ocena], "", -1, 2)</f>
        <v/>
      </c>
    </row>
    <row r="16" spans="2:23" x14ac:dyDescent="0.2">
      <c r="B16">
        <v>27000014</v>
      </c>
      <c r="C16" t="s">
        <v>9</v>
      </c>
      <c r="D16">
        <f>_xlfn.IFNA(_xlfn.XLOOKUP(Rezultati[[#This Row],[Vpisna]], DomaceNaloge[Vpisna],DomaceNaloge[Skupaj]), 0)</f>
        <v>0</v>
      </c>
      <c r="E16" t="str">
        <f>_xlfn.IFNA(_xlfn.XLOOKUP(Rezultati[[#This Row],[Vpisna]], Izpit1[Vpisna],Izpit1[Skupaj]), "")</f>
        <v/>
      </c>
      <c r="F16" t="str">
        <f>_xlfn.IFNA(_xlfn.XLOOKUP(Rezultati[[#This Row],[Vpisna]], Izpit1[Vpisna],Izpit1[Računalnik]), "")</f>
        <v/>
      </c>
      <c r="G16" s="12" t="b">
        <v>0</v>
      </c>
      <c r="H16" t="str">
        <f>_xlfn.IFNA(_xlfn.XLOOKUP(Rezultati[[#This Row],[Vpisna]], Izpit2[Vpisna],Izpit2[Skupaj]), "")</f>
        <v/>
      </c>
      <c r="I16" t="str">
        <f>_xlfn.IFNA(_xlfn.XLOOKUP(Rezultati[[#This Row],[Vpisna]], Izpit2[Vpisna],Izpit2[Računalnik]), "")</f>
        <v/>
      </c>
      <c r="J16" s="12" t="b">
        <v>0</v>
      </c>
      <c r="K16" t="str">
        <f>_xlfn.IFNA(_xlfn.XLOOKUP(Rezultati[[#This Row],[Vpisna]], Izpit3[Vpisna],Izpit3[Skupaj]), "")</f>
        <v/>
      </c>
      <c r="L16" s="12" t="b">
        <v>0</v>
      </c>
      <c r="M16">
        <f>MAX(Rezultati[[#This Row],[1.izpit]],Rezultati[[#This Row],[2.izpit]],Rezultati[[#This Row],[3.izpit]])</f>
        <v>0</v>
      </c>
      <c r="N16"/>
      <c r="O16">
        <f>Rezultati[[#This Row],[DN]]+Rezultati[[#This Row],[Max]]+Rezultati[[#This Row],[Bonus]]</f>
        <v>0</v>
      </c>
      <c r="P16" t="str" cm="1">
        <f t="array" ref="P16">_xlfn.XLOOKUP(Rezultati[[#This Row],[Skupaj]],_xlfn.XLOOKUP(Rezultati[[#This Row],[Program]],Kriterij[[#Headers],[APF]:[PED]],Kriterij[[APF]:[PED]]), Kriterij[Ocena], "", -1, 2)</f>
        <v/>
      </c>
    </row>
    <row r="17" spans="2:16" x14ac:dyDescent="0.2">
      <c r="B17">
        <v>27000015</v>
      </c>
      <c r="C17" t="s">
        <v>9</v>
      </c>
      <c r="D17">
        <f>_xlfn.IFNA(_xlfn.XLOOKUP(Rezultati[[#This Row],[Vpisna]], DomaceNaloge[Vpisna],DomaceNaloge[Skupaj]), 0)</f>
        <v>6</v>
      </c>
      <c r="E17">
        <f>_xlfn.IFNA(_xlfn.XLOOKUP(Rezultati[[#This Row],[Vpisna]], Izpit1[Vpisna],Izpit1[Skupaj]), "")</f>
        <v>0</v>
      </c>
      <c r="F17" t="str">
        <f>_xlfn.IFNA(_xlfn.XLOOKUP(Rezultati[[#This Row],[Vpisna]], Izpit1[Vpisna],Izpit1[Računalnik]), "")</f>
        <v>šolski</v>
      </c>
      <c r="G17" s="12" t="b">
        <v>1</v>
      </c>
      <c r="H17" t="str">
        <f>_xlfn.IFNA(_xlfn.XLOOKUP(Rezultati[[#This Row],[Vpisna]], Izpit2[Vpisna],Izpit2[Skupaj]), "")</f>
        <v/>
      </c>
      <c r="I17" t="str">
        <f>_xlfn.IFNA(_xlfn.XLOOKUP(Rezultati[[#This Row],[Vpisna]], Izpit2[Vpisna],Izpit2[Računalnik]), "")</f>
        <v/>
      </c>
      <c r="J17" s="12" t="b">
        <v>0</v>
      </c>
      <c r="K17" t="str">
        <f>_xlfn.IFNA(_xlfn.XLOOKUP(Rezultati[[#This Row],[Vpisna]], Izpit3[Vpisna],Izpit3[Skupaj]), "")</f>
        <v/>
      </c>
      <c r="L17" s="12" t="b">
        <v>0</v>
      </c>
      <c r="M17">
        <f>MAX(Rezultati[[#This Row],[1.izpit]],Rezultati[[#This Row],[2.izpit]],Rezultati[[#This Row],[3.izpit]])</f>
        <v>0</v>
      </c>
      <c r="N17"/>
      <c r="O17">
        <f>Rezultati[[#This Row],[DN]]+Rezultati[[#This Row],[Max]]+Rezultati[[#This Row],[Bonus]]</f>
        <v>6</v>
      </c>
      <c r="P17" cm="1">
        <f t="array" ref="P17">_xlfn.XLOOKUP(Rezultati[[#This Row],[Skupaj]],_xlfn.XLOOKUP(Rezultati[[#This Row],[Program]],Kriterij[[#Headers],[APF]:[PED]],Kriterij[[APF]:[PED]]), Kriterij[Ocena], "", -1, 2)</f>
        <v>5</v>
      </c>
    </row>
    <row r="18" spans="2:16" x14ac:dyDescent="0.2">
      <c r="B18">
        <v>27000016</v>
      </c>
      <c r="C18" t="s">
        <v>9</v>
      </c>
      <c r="D18">
        <f>_xlfn.IFNA(_xlfn.XLOOKUP(Rezultati[[#This Row],[Vpisna]], DomaceNaloge[Vpisna],DomaceNaloge[Skupaj]), 0)</f>
        <v>0</v>
      </c>
      <c r="E18" t="str">
        <f>_xlfn.IFNA(_xlfn.XLOOKUP(Rezultati[[#This Row],[Vpisna]], Izpit1[Vpisna],Izpit1[Skupaj]), "")</f>
        <v/>
      </c>
      <c r="F18" t="str">
        <f>_xlfn.IFNA(_xlfn.XLOOKUP(Rezultati[[#This Row],[Vpisna]], Izpit1[Vpisna],Izpit1[Računalnik]), "")</f>
        <v/>
      </c>
      <c r="G18" s="12" t="b">
        <v>0</v>
      </c>
      <c r="H18" t="str">
        <f>_xlfn.IFNA(_xlfn.XLOOKUP(Rezultati[[#This Row],[Vpisna]], Izpit2[Vpisna],Izpit2[Skupaj]), "")</f>
        <v/>
      </c>
      <c r="I18" t="str">
        <f>_xlfn.IFNA(_xlfn.XLOOKUP(Rezultati[[#This Row],[Vpisna]], Izpit2[Vpisna],Izpit2[Računalnik]), "")</f>
        <v/>
      </c>
      <c r="J18" s="12" t="b">
        <v>0</v>
      </c>
      <c r="K18" t="str">
        <f>_xlfn.IFNA(_xlfn.XLOOKUP(Rezultati[[#This Row],[Vpisna]], Izpit3[Vpisna],Izpit3[Skupaj]), "")</f>
        <v/>
      </c>
      <c r="L18" s="12" t="b">
        <v>0</v>
      </c>
      <c r="M18">
        <f>MAX(Rezultati[[#This Row],[1.izpit]],Rezultati[[#This Row],[2.izpit]],Rezultati[[#This Row],[3.izpit]])</f>
        <v>0</v>
      </c>
      <c r="N18"/>
      <c r="O18">
        <f>Rezultati[[#This Row],[DN]]+Rezultati[[#This Row],[Max]]+Rezultati[[#This Row],[Bonus]]</f>
        <v>0</v>
      </c>
      <c r="P18" t="str" cm="1">
        <f t="array" ref="P18">_xlfn.XLOOKUP(Rezultati[[#This Row],[Skupaj]],_xlfn.XLOOKUP(Rezultati[[#This Row],[Program]],Kriterij[[#Headers],[APF]:[PED]],Kriterij[[APF]:[PED]]), Kriterij[Ocena], "", -1, 2)</f>
        <v/>
      </c>
    </row>
    <row r="19" spans="2:16" x14ac:dyDescent="0.2">
      <c r="B19">
        <v>27000017</v>
      </c>
      <c r="C19" t="s">
        <v>9</v>
      </c>
      <c r="D19">
        <f>_xlfn.IFNA(_xlfn.XLOOKUP(Rezultati[[#This Row],[Vpisna]], DomaceNaloge[Vpisna],DomaceNaloge[Skupaj]), 0)</f>
        <v>0</v>
      </c>
      <c r="E19" t="str">
        <f>_xlfn.IFNA(_xlfn.XLOOKUP(Rezultati[[#This Row],[Vpisna]], Izpit1[Vpisna],Izpit1[Skupaj]), "")</f>
        <v/>
      </c>
      <c r="F19" t="str">
        <f>_xlfn.IFNA(_xlfn.XLOOKUP(Rezultati[[#This Row],[Vpisna]], Izpit1[Vpisna],Izpit1[Računalnik]), "")</f>
        <v/>
      </c>
      <c r="G19" s="12" t="b">
        <v>0</v>
      </c>
      <c r="H19" t="str">
        <f>_xlfn.IFNA(_xlfn.XLOOKUP(Rezultati[[#This Row],[Vpisna]], Izpit2[Vpisna],Izpit2[Skupaj]), "")</f>
        <v/>
      </c>
      <c r="I19" t="str">
        <f>_xlfn.IFNA(_xlfn.XLOOKUP(Rezultati[[#This Row],[Vpisna]], Izpit2[Vpisna],Izpit2[Računalnik]), "")</f>
        <v/>
      </c>
      <c r="J19" s="12" t="b">
        <v>0</v>
      </c>
      <c r="K19" t="str">
        <f>_xlfn.IFNA(_xlfn.XLOOKUP(Rezultati[[#This Row],[Vpisna]], Izpit3[Vpisna],Izpit3[Skupaj]), "")</f>
        <v/>
      </c>
      <c r="L19" s="12" t="b">
        <v>0</v>
      </c>
      <c r="M19">
        <f>MAX(Rezultati[[#This Row],[1.izpit]],Rezultati[[#This Row],[2.izpit]],Rezultati[[#This Row],[3.izpit]])</f>
        <v>0</v>
      </c>
      <c r="N19"/>
      <c r="O19">
        <f>Rezultati[[#This Row],[DN]]+Rezultati[[#This Row],[Max]]+Rezultati[[#This Row],[Bonus]]</f>
        <v>0</v>
      </c>
      <c r="P19" t="str" cm="1">
        <f t="array" ref="P19">_xlfn.XLOOKUP(Rezultati[[#This Row],[Skupaj]],_xlfn.XLOOKUP(Rezultati[[#This Row],[Program]],Kriterij[[#Headers],[APF]:[PED]],Kriterij[[APF]:[PED]]), Kriterij[Ocena], "", -1, 2)</f>
        <v/>
      </c>
    </row>
    <row r="20" spans="2:16" x14ac:dyDescent="0.2">
      <c r="B20">
        <v>27000018</v>
      </c>
      <c r="C20" t="s">
        <v>9</v>
      </c>
      <c r="D20">
        <f>_xlfn.IFNA(_xlfn.XLOOKUP(Rezultati[[#This Row],[Vpisna]], DomaceNaloge[Vpisna],DomaceNaloge[Skupaj]), 0)</f>
        <v>0</v>
      </c>
      <c r="E20" t="str">
        <f>_xlfn.IFNA(_xlfn.XLOOKUP(Rezultati[[#This Row],[Vpisna]], Izpit1[Vpisna],Izpit1[Skupaj]), "")</f>
        <v/>
      </c>
      <c r="F20" t="str">
        <f>_xlfn.IFNA(_xlfn.XLOOKUP(Rezultati[[#This Row],[Vpisna]], Izpit1[Vpisna],Izpit1[Računalnik]), "")</f>
        <v/>
      </c>
      <c r="G20" s="12" t="b">
        <v>0</v>
      </c>
      <c r="H20" t="str">
        <f>_xlfn.IFNA(_xlfn.XLOOKUP(Rezultati[[#This Row],[Vpisna]], Izpit2[Vpisna],Izpit2[Skupaj]), "")</f>
        <v/>
      </c>
      <c r="I20" t="str">
        <f>_xlfn.IFNA(_xlfn.XLOOKUP(Rezultati[[#This Row],[Vpisna]], Izpit2[Vpisna],Izpit2[Računalnik]), "")</f>
        <v/>
      </c>
      <c r="J20" s="12" t="b">
        <v>0</v>
      </c>
      <c r="K20" t="str">
        <f>_xlfn.IFNA(_xlfn.XLOOKUP(Rezultati[[#This Row],[Vpisna]], Izpit3[Vpisna],Izpit3[Skupaj]), "")</f>
        <v/>
      </c>
      <c r="L20" s="12" t="b">
        <v>0</v>
      </c>
      <c r="M20">
        <f>MAX(Rezultati[[#This Row],[1.izpit]],Rezultati[[#This Row],[2.izpit]],Rezultati[[#This Row],[3.izpit]])</f>
        <v>0</v>
      </c>
      <c r="N20"/>
      <c r="O20">
        <f>Rezultati[[#This Row],[DN]]+Rezultati[[#This Row],[Max]]+Rezultati[[#This Row],[Bonus]]</f>
        <v>0</v>
      </c>
      <c r="P20" t="str" cm="1">
        <f t="array" ref="P20">_xlfn.XLOOKUP(Rezultati[[#This Row],[Skupaj]],_xlfn.XLOOKUP(Rezultati[[#This Row],[Program]],Kriterij[[#Headers],[APF]:[PED]],Kriterij[[APF]:[PED]]), Kriterij[Ocena], "", -1, 2)</f>
        <v/>
      </c>
    </row>
    <row r="21" spans="2:16" x14ac:dyDescent="0.2">
      <c r="B21">
        <v>27000019</v>
      </c>
      <c r="C21" t="s">
        <v>9</v>
      </c>
      <c r="D21">
        <f>_xlfn.IFNA(_xlfn.XLOOKUP(Rezultati[[#This Row],[Vpisna]], DomaceNaloge[Vpisna],DomaceNaloge[Skupaj]), 0)</f>
        <v>0</v>
      </c>
      <c r="E21" t="str">
        <f>_xlfn.IFNA(_xlfn.XLOOKUP(Rezultati[[#This Row],[Vpisna]], Izpit1[Vpisna],Izpit1[Skupaj]), "")</f>
        <v/>
      </c>
      <c r="F21" t="str">
        <f>_xlfn.IFNA(_xlfn.XLOOKUP(Rezultati[[#This Row],[Vpisna]], Izpit1[Vpisna],Izpit1[Računalnik]), "")</f>
        <v/>
      </c>
      <c r="G21" s="12" t="b">
        <v>0</v>
      </c>
      <c r="H21" t="str">
        <f>_xlfn.IFNA(_xlfn.XLOOKUP(Rezultati[[#This Row],[Vpisna]], Izpit2[Vpisna],Izpit2[Skupaj]), "")</f>
        <v/>
      </c>
      <c r="I21" t="str">
        <f>_xlfn.IFNA(_xlfn.XLOOKUP(Rezultati[[#This Row],[Vpisna]], Izpit2[Vpisna],Izpit2[Računalnik]), "")</f>
        <v/>
      </c>
      <c r="J21" s="12" t="b">
        <v>0</v>
      </c>
      <c r="K21" t="str">
        <f>_xlfn.IFNA(_xlfn.XLOOKUP(Rezultati[[#This Row],[Vpisna]], Izpit3[Vpisna],Izpit3[Skupaj]), "")</f>
        <v/>
      </c>
      <c r="L21" s="12" t="b">
        <v>0</v>
      </c>
      <c r="M21">
        <f>MAX(Rezultati[[#This Row],[1.izpit]],Rezultati[[#This Row],[2.izpit]],Rezultati[[#This Row],[3.izpit]])</f>
        <v>0</v>
      </c>
      <c r="N21"/>
      <c r="O21">
        <f>Rezultati[[#This Row],[DN]]+Rezultati[[#This Row],[Max]]+Rezultati[[#This Row],[Bonus]]</f>
        <v>0</v>
      </c>
      <c r="P21" t="str" cm="1">
        <f t="array" ref="P21">_xlfn.XLOOKUP(Rezultati[[#This Row],[Skupaj]],_xlfn.XLOOKUP(Rezultati[[#This Row],[Program]],Kriterij[[#Headers],[APF]:[PED]],Kriterij[[APF]:[PED]]), Kriterij[Ocena], "", -1, 2)</f>
        <v/>
      </c>
    </row>
    <row r="22" spans="2:16" x14ac:dyDescent="0.2">
      <c r="B22">
        <v>27000020</v>
      </c>
      <c r="C22" t="s">
        <v>9</v>
      </c>
      <c r="D22">
        <f>_xlfn.IFNA(_xlfn.XLOOKUP(Rezultati[[#This Row],[Vpisna]], DomaceNaloge[Vpisna],DomaceNaloge[Skupaj]), 0)</f>
        <v>5</v>
      </c>
      <c r="E22">
        <f>_xlfn.IFNA(_xlfn.XLOOKUP(Rezultati[[#This Row],[Vpisna]], Izpit1[Vpisna],Izpit1[Skupaj]), "")</f>
        <v>0</v>
      </c>
      <c r="F22" t="str">
        <f>_xlfn.IFNA(_xlfn.XLOOKUP(Rezultati[[#This Row],[Vpisna]], Izpit1[Vpisna],Izpit1[Računalnik]), "")</f>
        <v>šolski</v>
      </c>
      <c r="G22" s="12" t="b">
        <v>1</v>
      </c>
      <c r="H22" t="str">
        <f>_xlfn.IFNA(_xlfn.XLOOKUP(Rezultati[[#This Row],[Vpisna]], Izpit2[Vpisna],Izpit2[Skupaj]), "")</f>
        <v/>
      </c>
      <c r="I22" t="str">
        <f>_xlfn.IFNA(_xlfn.XLOOKUP(Rezultati[[#This Row],[Vpisna]], Izpit2[Vpisna],Izpit2[Računalnik]), "")</f>
        <v/>
      </c>
      <c r="J22" s="12" t="b">
        <v>0</v>
      </c>
      <c r="K22" t="str">
        <f>_xlfn.IFNA(_xlfn.XLOOKUP(Rezultati[[#This Row],[Vpisna]], Izpit3[Vpisna],Izpit3[Skupaj]), "")</f>
        <v/>
      </c>
      <c r="L22" s="12" t="b">
        <v>0</v>
      </c>
      <c r="M22">
        <f>MAX(Rezultati[[#This Row],[1.izpit]],Rezultati[[#This Row],[2.izpit]],Rezultati[[#This Row],[3.izpit]])</f>
        <v>0</v>
      </c>
      <c r="N22"/>
      <c r="O22">
        <f>Rezultati[[#This Row],[DN]]+Rezultati[[#This Row],[Max]]+Rezultati[[#This Row],[Bonus]]</f>
        <v>5</v>
      </c>
      <c r="P22" cm="1">
        <f t="array" ref="P22">_xlfn.XLOOKUP(Rezultati[[#This Row],[Skupaj]],_xlfn.XLOOKUP(Rezultati[[#This Row],[Program]],Kriterij[[#Headers],[APF]:[PED]],Kriterij[[APF]:[PED]]), Kriterij[Ocena], "", -1, 2)</f>
        <v>5</v>
      </c>
    </row>
    <row r="23" spans="2:16" x14ac:dyDescent="0.2">
      <c r="B23">
        <v>27000021</v>
      </c>
      <c r="C23" t="s">
        <v>9</v>
      </c>
      <c r="D23">
        <f>_xlfn.IFNA(_xlfn.XLOOKUP(Rezultati[[#This Row],[Vpisna]], DomaceNaloge[Vpisna],DomaceNaloge[Skupaj]), 0)</f>
        <v>0</v>
      </c>
      <c r="E23" t="str">
        <f>_xlfn.IFNA(_xlfn.XLOOKUP(Rezultati[[#This Row],[Vpisna]], Izpit1[Vpisna],Izpit1[Skupaj]), "")</f>
        <v/>
      </c>
      <c r="F23" t="str">
        <f>_xlfn.IFNA(_xlfn.XLOOKUP(Rezultati[[#This Row],[Vpisna]], Izpit1[Vpisna],Izpit1[Računalnik]), "")</f>
        <v/>
      </c>
      <c r="G23" s="12" t="b">
        <v>0</v>
      </c>
      <c r="H23" t="str">
        <f>_xlfn.IFNA(_xlfn.XLOOKUP(Rezultati[[#This Row],[Vpisna]], Izpit2[Vpisna],Izpit2[Skupaj]), "")</f>
        <v/>
      </c>
      <c r="I23" t="str">
        <f>_xlfn.IFNA(_xlfn.XLOOKUP(Rezultati[[#This Row],[Vpisna]], Izpit2[Vpisna],Izpit2[Računalnik]), "")</f>
        <v/>
      </c>
      <c r="J23" s="12" t="b">
        <v>0</v>
      </c>
      <c r="K23" t="str">
        <f>_xlfn.IFNA(_xlfn.XLOOKUP(Rezultati[[#This Row],[Vpisna]], Izpit3[Vpisna],Izpit3[Skupaj]), "")</f>
        <v/>
      </c>
      <c r="L23" s="12" t="b">
        <v>0</v>
      </c>
      <c r="M23">
        <f>MAX(Rezultati[[#This Row],[1.izpit]],Rezultati[[#This Row],[2.izpit]],Rezultati[[#This Row],[3.izpit]])</f>
        <v>0</v>
      </c>
      <c r="N23"/>
      <c r="O23">
        <f>Rezultati[[#This Row],[DN]]+Rezultati[[#This Row],[Max]]+Rezultati[[#This Row],[Bonus]]</f>
        <v>0</v>
      </c>
      <c r="P23" t="str" cm="1">
        <f t="array" ref="P23">_xlfn.XLOOKUP(Rezultati[[#This Row],[Skupaj]],_xlfn.XLOOKUP(Rezultati[[#This Row],[Program]],Kriterij[[#Headers],[APF]:[PED]],Kriterij[[APF]:[PED]]), Kriterij[Ocena], "", -1, 2)</f>
        <v/>
      </c>
    </row>
    <row r="24" spans="2:16" x14ac:dyDescent="0.2">
      <c r="B24">
        <v>27000022</v>
      </c>
      <c r="C24" t="s">
        <v>9</v>
      </c>
      <c r="D24">
        <f>_xlfn.IFNA(_xlfn.XLOOKUP(Rezultati[[#This Row],[Vpisna]], DomaceNaloge[Vpisna],DomaceNaloge[Skupaj]), 0)</f>
        <v>0</v>
      </c>
      <c r="E24" t="str">
        <f>_xlfn.IFNA(_xlfn.XLOOKUP(Rezultati[[#This Row],[Vpisna]], Izpit1[Vpisna],Izpit1[Skupaj]), "")</f>
        <v/>
      </c>
      <c r="F24" t="str">
        <f>_xlfn.IFNA(_xlfn.XLOOKUP(Rezultati[[#This Row],[Vpisna]], Izpit1[Vpisna],Izpit1[Računalnik]), "")</f>
        <v/>
      </c>
      <c r="G24" s="12" t="b">
        <v>0</v>
      </c>
      <c r="H24" t="str">
        <f>_xlfn.IFNA(_xlfn.XLOOKUP(Rezultati[[#This Row],[Vpisna]], Izpit2[Vpisna],Izpit2[Skupaj]), "")</f>
        <v/>
      </c>
      <c r="I24" t="str">
        <f>_xlfn.IFNA(_xlfn.XLOOKUP(Rezultati[[#This Row],[Vpisna]], Izpit2[Vpisna],Izpit2[Računalnik]), "")</f>
        <v/>
      </c>
      <c r="J24" s="12" t="b">
        <v>0</v>
      </c>
      <c r="K24" t="str">
        <f>_xlfn.IFNA(_xlfn.XLOOKUP(Rezultati[[#This Row],[Vpisna]], Izpit3[Vpisna],Izpit3[Skupaj]), "")</f>
        <v/>
      </c>
      <c r="L24" s="12" t="b">
        <v>0</v>
      </c>
      <c r="M24">
        <f>MAX(Rezultati[[#This Row],[1.izpit]],Rezultati[[#This Row],[2.izpit]],Rezultati[[#This Row],[3.izpit]])</f>
        <v>0</v>
      </c>
      <c r="N24"/>
      <c r="O24">
        <f>Rezultati[[#This Row],[DN]]+Rezultati[[#This Row],[Max]]+Rezultati[[#This Row],[Bonus]]</f>
        <v>0</v>
      </c>
      <c r="P24" t="str" cm="1">
        <f t="array" ref="P24">_xlfn.XLOOKUP(Rezultati[[#This Row],[Skupaj]],_xlfn.XLOOKUP(Rezultati[[#This Row],[Program]],Kriterij[[#Headers],[APF]:[PED]],Kriterij[[APF]:[PED]]), Kriterij[Ocena], "", -1, 2)</f>
        <v/>
      </c>
    </row>
    <row r="25" spans="2:16" x14ac:dyDescent="0.2">
      <c r="B25">
        <v>27000023</v>
      </c>
      <c r="C25" t="s">
        <v>9</v>
      </c>
      <c r="D25">
        <f>_xlfn.IFNA(_xlfn.XLOOKUP(Rezultati[[#This Row],[Vpisna]], DomaceNaloge[Vpisna],DomaceNaloge[Skupaj]), 0)</f>
        <v>4</v>
      </c>
      <c r="E25" t="str">
        <f>_xlfn.IFNA(_xlfn.XLOOKUP(Rezultati[[#This Row],[Vpisna]], Izpit1[Vpisna],Izpit1[Skupaj]), "")</f>
        <v/>
      </c>
      <c r="F25" t="str">
        <f>_xlfn.IFNA(_xlfn.XLOOKUP(Rezultati[[#This Row],[Vpisna]], Izpit1[Vpisna],Izpit1[Računalnik]), "")</f>
        <v/>
      </c>
      <c r="G25" s="12" t="b">
        <v>0</v>
      </c>
      <c r="H25" t="str">
        <f>_xlfn.IFNA(_xlfn.XLOOKUP(Rezultati[[#This Row],[Vpisna]], Izpit2[Vpisna],Izpit2[Skupaj]), "")</f>
        <v/>
      </c>
      <c r="I25" t="str">
        <f>_xlfn.IFNA(_xlfn.XLOOKUP(Rezultati[[#This Row],[Vpisna]], Izpit2[Vpisna],Izpit2[Računalnik]), "")</f>
        <v/>
      </c>
      <c r="J25" s="12" t="b">
        <v>0</v>
      </c>
      <c r="K25" t="str">
        <f>_xlfn.IFNA(_xlfn.XLOOKUP(Rezultati[[#This Row],[Vpisna]], Izpit3[Vpisna],Izpit3[Skupaj]), "")</f>
        <v/>
      </c>
      <c r="L25" s="12" t="b">
        <v>0</v>
      </c>
      <c r="M25">
        <f>MAX(Rezultati[[#This Row],[1.izpit]],Rezultati[[#This Row],[2.izpit]],Rezultati[[#This Row],[3.izpit]])</f>
        <v>0</v>
      </c>
      <c r="N25"/>
      <c r="O25">
        <f>Rezultati[[#This Row],[DN]]+Rezultati[[#This Row],[Max]]+Rezultati[[#This Row],[Bonus]]</f>
        <v>4</v>
      </c>
      <c r="P25" cm="1">
        <f t="array" ref="P25">_xlfn.XLOOKUP(Rezultati[[#This Row],[Skupaj]],_xlfn.XLOOKUP(Rezultati[[#This Row],[Program]],Kriterij[[#Headers],[APF]:[PED]],Kriterij[[APF]:[PED]]), Kriterij[Ocena], "", -1, 2)</f>
        <v>5</v>
      </c>
    </row>
    <row r="26" spans="2:16" x14ac:dyDescent="0.2">
      <c r="B26">
        <v>27000024</v>
      </c>
      <c r="C26" t="s">
        <v>9</v>
      </c>
      <c r="D26">
        <f>_xlfn.IFNA(_xlfn.XLOOKUP(Rezultati[[#This Row],[Vpisna]], DomaceNaloge[Vpisna],DomaceNaloge[Skupaj]), 0)</f>
        <v>0</v>
      </c>
      <c r="E26" t="str">
        <f>_xlfn.IFNA(_xlfn.XLOOKUP(Rezultati[[#This Row],[Vpisna]], Izpit1[Vpisna],Izpit1[Skupaj]), "")</f>
        <v/>
      </c>
      <c r="F26" t="str">
        <f>_xlfn.IFNA(_xlfn.XLOOKUP(Rezultati[[#This Row],[Vpisna]], Izpit1[Vpisna],Izpit1[Računalnik]), "")</f>
        <v/>
      </c>
      <c r="G26" s="12" t="b">
        <v>0</v>
      </c>
      <c r="H26" t="str">
        <f>_xlfn.IFNA(_xlfn.XLOOKUP(Rezultati[[#This Row],[Vpisna]], Izpit2[Vpisna],Izpit2[Skupaj]), "")</f>
        <v/>
      </c>
      <c r="I26" t="str">
        <f>_xlfn.IFNA(_xlfn.XLOOKUP(Rezultati[[#This Row],[Vpisna]], Izpit2[Vpisna],Izpit2[Računalnik]), "")</f>
        <v/>
      </c>
      <c r="J26" s="12" t="b">
        <v>0</v>
      </c>
      <c r="K26" t="str">
        <f>_xlfn.IFNA(_xlfn.XLOOKUP(Rezultati[[#This Row],[Vpisna]], Izpit3[Vpisna],Izpit3[Skupaj]), "")</f>
        <v/>
      </c>
      <c r="L26" s="12" t="b">
        <v>0</v>
      </c>
      <c r="M26">
        <f>MAX(Rezultati[[#This Row],[1.izpit]],Rezultati[[#This Row],[2.izpit]],Rezultati[[#This Row],[3.izpit]])</f>
        <v>0</v>
      </c>
      <c r="N26"/>
      <c r="O26">
        <f>Rezultati[[#This Row],[DN]]+Rezultati[[#This Row],[Max]]+Rezultati[[#This Row],[Bonus]]</f>
        <v>0</v>
      </c>
      <c r="P26" t="str" cm="1">
        <f t="array" ref="P26">_xlfn.XLOOKUP(Rezultati[[#This Row],[Skupaj]],_xlfn.XLOOKUP(Rezultati[[#This Row],[Program]],Kriterij[[#Headers],[APF]:[PED]],Kriterij[[APF]:[PED]]), Kriterij[Ocena], "", -1, 2)</f>
        <v/>
      </c>
    </row>
    <row r="27" spans="2:16" x14ac:dyDescent="0.2">
      <c r="B27">
        <v>27000025</v>
      </c>
      <c r="C27" t="s">
        <v>9</v>
      </c>
      <c r="D27">
        <f>_xlfn.IFNA(_xlfn.XLOOKUP(Rezultati[[#This Row],[Vpisna]], DomaceNaloge[Vpisna],DomaceNaloge[Skupaj]), 0)</f>
        <v>0</v>
      </c>
      <c r="E27" t="str">
        <f>_xlfn.IFNA(_xlfn.XLOOKUP(Rezultati[[#This Row],[Vpisna]], Izpit1[Vpisna],Izpit1[Skupaj]), "")</f>
        <v/>
      </c>
      <c r="F27" t="str">
        <f>_xlfn.IFNA(_xlfn.XLOOKUP(Rezultati[[#This Row],[Vpisna]], Izpit1[Vpisna],Izpit1[Računalnik]), "")</f>
        <v/>
      </c>
      <c r="G27" s="12" t="b">
        <v>0</v>
      </c>
      <c r="H27" t="str">
        <f>_xlfn.IFNA(_xlfn.XLOOKUP(Rezultati[[#This Row],[Vpisna]], Izpit2[Vpisna],Izpit2[Skupaj]), "")</f>
        <v/>
      </c>
      <c r="I27" t="str">
        <f>_xlfn.IFNA(_xlfn.XLOOKUP(Rezultati[[#This Row],[Vpisna]], Izpit2[Vpisna],Izpit2[Računalnik]), "")</f>
        <v/>
      </c>
      <c r="J27" s="12" t="b">
        <v>0</v>
      </c>
      <c r="K27" t="str">
        <f>_xlfn.IFNA(_xlfn.XLOOKUP(Rezultati[[#This Row],[Vpisna]], Izpit3[Vpisna],Izpit3[Skupaj]), "")</f>
        <v/>
      </c>
      <c r="L27" s="12" t="b">
        <v>0</v>
      </c>
      <c r="M27">
        <f>MAX(Rezultati[[#This Row],[1.izpit]],Rezultati[[#This Row],[2.izpit]],Rezultati[[#This Row],[3.izpit]])</f>
        <v>0</v>
      </c>
      <c r="N27"/>
      <c r="O27">
        <f>Rezultati[[#This Row],[DN]]+Rezultati[[#This Row],[Max]]+Rezultati[[#This Row],[Bonus]]</f>
        <v>0</v>
      </c>
      <c r="P27" t="str" cm="1">
        <f t="array" ref="P27">_xlfn.XLOOKUP(Rezultati[[#This Row],[Skupaj]],_xlfn.XLOOKUP(Rezultati[[#This Row],[Program]],Kriterij[[#Headers],[APF]:[PED]],Kriterij[[APF]:[PED]]), Kriterij[Ocena], "", -1, 2)</f>
        <v/>
      </c>
    </row>
    <row r="28" spans="2:16" x14ac:dyDescent="0.2">
      <c r="B28">
        <v>27000026</v>
      </c>
      <c r="C28" t="s">
        <v>9</v>
      </c>
      <c r="D28">
        <f>_xlfn.IFNA(_xlfn.XLOOKUP(Rezultati[[#This Row],[Vpisna]], DomaceNaloge[Vpisna],DomaceNaloge[Skupaj]), 0)</f>
        <v>0</v>
      </c>
      <c r="E28" t="str">
        <f>_xlfn.IFNA(_xlfn.XLOOKUP(Rezultati[[#This Row],[Vpisna]], Izpit1[Vpisna],Izpit1[Skupaj]), "")</f>
        <v/>
      </c>
      <c r="F28" t="str">
        <f>_xlfn.IFNA(_xlfn.XLOOKUP(Rezultati[[#This Row],[Vpisna]], Izpit1[Vpisna],Izpit1[Računalnik]), "")</f>
        <v/>
      </c>
      <c r="G28" s="12" t="b">
        <v>0</v>
      </c>
      <c r="H28" t="str">
        <f>_xlfn.IFNA(_xlfn.XLOOKUP(Rezultati[[#This Row],[Vpisna]], Izpit2[Vpisna],Izpit2[Skupaj]), "")</f>
        <v/>
      </c>
      <c r="I28" t="str">
        <f>_xlfn.IFNA(_xlfn.XLOOKUP(Rezultati[[#This Row],[Vpisna]], Izpit2[Vpisna],Izpit2[Računalnik]), "")</f>
        <v/>
      </c>
      <c r="J28" s="12" t="b">
        <v>0</v>
      </c>
      <c r="K28" t="str">
        <f>_xlfn.IFNA(_xlfn.XLOOKUP(Rezultati[[#This Row],[Vpisna]], Izpit3[Vpisna],Izpit3[Skupaj]), "")</f>
        <v/>
      </c>
      <c r="L28" s="12" t="b">
        <v>0</v>
      </c>
      <c r="M28">
        <f>MAX(Rezultati[[#This Row],[1.izpit]],Rezultati[[#This Row],[2.izpit]],Rezultati[[#This Row],[3.izpit]])</f>
        <v>0</v>
      </c>
      <c r="N28"/>
      <c r="O28">
        <f>Rezultati[[#This Row],[DN]]+Rezultati[[#This Row],[Max]]+Rezultati[[#This Row],[Bonus]]</f>
        <v>0</v>
      </c>
      <c r="P28" t="str" cm="1">
        <f t="array" ref="P28">_xlfn.XLOOKUP(Rezultati[[#This Row],[Skupaj]],_xlfn.XLOOKUP(Rezultati[[#This Row],[Program]],Kriterij[[#Headers],[APF]:[PED]],Kriterij[[APF]:[PED]]), Kriterij[Ocena], "", -1, 2)</f>
        <v/>
      </c>
    </row>
    <row r="29" spans="2:16" x14ac:dyDescent="0.2">
      <c r="B29">
        <v>27000027</v>
      </c>
      <c r="C29" t="s">
        <v>9</v>
      </c>
      <c r="D29">
        <f>_xlfn.IFNA(_xlfn.XLOOKUP(Rezultati[[#This Row],[Vpisna]], DomaceNaloge[Vpisna],DomaceNaloge[Skupaj]), 0)</f>
        <v>6</v>
      </c>
      <c r="E29">
        <f>_xlfn.IFNA(_xlfn.XLOOKUP(Rezultati[[#This Row],[Vpisna]], Izpit1[Vpisna],Izpit1[Skupaj]), "")</f>
        <v>46</v>
      </c>
      <c r="F29" t="str">
        <f>_xlfn.IFNA(_xlfn.XLOOKUP(Rezultati[[#This Row],[Vpisna]], Izpit1[Vpisna],Izpit1[Računalnik]), "")</f>
        <v>šolski</v>
      </c>
      <c r="G29" s="12" t="b">
        <v>1</v>
      </c>
      <c r="H29">
        <f>_xlfn.IFNA(_xlfn.XLOOKUP(Rezultati[[#This Row],[Vpisna]], Izpit2[Vpisna],Izpit2[Skupaj]), "")</f>
        <v>55</v>
      </c>
      <c r="I29" t="str">
        <f>_xlfn.IFNA(_xlfn.XLOOKUP(Rezultati[[#This Row],[Vpisna]], Izpit2[Vpisna],Izpit2[Računalnik]), "")</f>
        <v>šolski</v>
      </c>
      <c r="J29" s="12" t="b">
        <v>1</v>
      </c>
      <c r="K29" t="str">
        <f>_xlfn.IFNA(_xlfn.XLOOKUP(Rezultati[[#This Row],[Vpisna]], Izpit3[Vpisna],Izpit3[Skupaj]), "")</f>
        <v/>
      </c>
      <c r="L29" s="12" t="b">
        <v>0</v>
      </c>
      <c r="M29">
        <f>MAX(Rezultati[[#This Row],[1.izpit]],Rezultati[[#This Row],[2.izpit]],Rezultati[[#This Row],[3.izpit]])</f>
        <v>55</v>
      </c>
      <c r="N29"/>
      <c r="O29">
        <f>Rezultati[[#This Row],[DN]]+Rezultati[[#This Row],[Max]]+Rezultati[[#This Row],[Bonus]]</f>
        <v>61</v>
      </c>
      <c r="P29" cm="1">
        <f t="array" ref="P29">_xlfn.XLOOKUP(Rezultati[[#This Row],[Skupaj]],_xlfn.XLOOKUP(Rezultati[[#This Row],[Program]],Kriterij[[#Headers],[APF]:[PED]],Kriterij[[APF]:[PED]]), Kriterij[Ocena], "", -1, 2)</f>
        <v>7</v>
      </c>
    </row>
    <row r="30" spans="2:16" x14ac:dyDescent="0.2">
      <c r="B30">
        <v>27000028</v>
      </c>
      <c r="C30" t="s">
        <v>9</v>
      </c>
      <c r="D30">
        <f>_xlfn.IFNA(_xlfn.XLOOKUP(Rezultati[[#This Row],[Vpisna]], DomaceNaloge[Vpisna],DomaceNaloge[Skupaj]), 0)</f>
        <v>5</v>
      </c>
      <c r="E30" t="str">
        <f>_xlfn.IFNA(_xlfn.XLOOKUP(Rezultati[[#This Row],[Vpisna]], Izpit1[Vpisna],Izpit1[Skupaj]), "")</f>
        <v/>
      </c>
      <c r="F30" t="str">
        <f>_xlfn.IFNA(_xlfn.XLOOKUP(Rezultati[[#This Row],[Vpisna]], Izpit1[Vpisna],Izpit1[Računalnik]), "")</f>
        <v/>
      </c>
      <c r="G30" s="12" t="b">
        <v>0</v>
      </c>
      <c r="H30">
        <f>_xlfn.IFNA(_xlfn.XLOOKUP(Rezultati[[#This Row],[Vpisna]], Izpit2[Vpisna],Izpit2[Skupaj]), "")</f>
        <v>67</v>
      </c>
      <c r="I30" t="str">
        <f>_xlfn.IFNA(_xlfn.XLOOKUP(Rezultati[[#This Row],[Vpisna]], Izpit2[Vpisna],Izpit2[Računalnik]), "")</f>
        <v>šolski</v>
      </c>
      <c r="J30" s="12" t="b">
        <v>1</v>
      </c>
      <c r="K30" t="str">
        <f>_xlfn.IFNA(_xlfn.XLOOKUP(Rezultati[[#This Row],[Vpisna]], Izpit3[Vpisna],Izpit3[Skupaj]), "")</f>
        <v/>
      </c>
      <c r="L30" s="12" t="b">
        <v>0</v>
      </c>
      <c r="M30">
        <f>MAX(Rezultati[[#This Row],[1.izpit]],Rezultati[[#This Row],[2.izpit]],Rezultati[[#This Row],[3.izpit]])</f>
        <v>67</v>
      </c>
      <c r="N30"/>
      <c r="O30">
        <f>Rezultati[[#This Row],[DN]]+Rezultati[[#This Row],[Max]]+Rezultati[[#This Row],[Bonus]]</f>
        <v>72</v>
      </c>
      <c r="P30" cm="1">
        <f t="array" ref="P30">_xlfn.XLOOKUP(Rezultati[[#This Row],[Skupaj]],_xlfn.XLOOKUP(Rezultati[[#This Row],[Program]],Kriterij[[#Headers],[APF]:[PED]],Kriterij[[APF]:[PED]]), Kriterij[Ocena], "", -1, 2)</f>
        <v>8</v>
      </c>
    </row>
    <row r="31" spans="2:16" x14ac:dyDescent="0.2">
      <c r="B31">
        <v>27000029</v>
      </c>
      <c r="C31" t="s">
        <v>12</v>
      </c>
      <c r="D31">
        <f>_xlfn.IFNA(_xlfn.XLOOKUP(Rezultati[[#This Row],[Vpisna]], DomaceNaloge[Vpisna],DomaceNaloge[Skupaj]), 0)</f>
        <v>3</v>
      </c>
      <c r="E31">
        <f>_xlfn.IFNA(_xlfn.XLOOKUP(Rezultati[[#This Row],[Vpisna]], Izpit1[Vpisna],Izpit1[Skupaj]), "")</f>
        <v>23</v>
      </c>
      <c r="F31" t="str">
        <f>_xlfn.IFNA(_xlfn.XLOOKUP(Rezultati[[#This Row],[Vpisna]], Izpit1[Vpisna],Izpit1[Računalnik]), "")</f>
        <v>svoj</v>
      </c>
      <c r="G31" s="12" t="b">
        <v>1</v>
      </c>
      <c r="H31" t="str">
        <f>_xlfn.IFNA(_xlfn.XLOOKUP(Rezultati[[#This Row],[Vpisna]], Izpit2[Vpisna],Izpit2[Skupaj]), "")</f>
        <v/>
      </c>
      <c r="I31" t="str">
        <f>_xlfn.IFNA(_xlfn.XLOOKUP(Rezultati[[#This Row],[Vpisna]], Izpit2[Vpisna],Izpit2[Računalnik]), "")</f>
        <v/>
      </c>
      <c r="J31" s="12" t="b">
        <v>0</v>
      </c>
      <c r="K31">
        <f>_xlfn.IFNA(_xlfn.XLOOKUP(Rezultati[[#This Row],[Vpisna]], Izpit3[Vpisna],Izpit3[Skupaj]), "")</f>
        <v>28</v>
      </c>
      <c r="L31" s="12" t="b">
        <v>1</v>
      </c>
      <c r="M31">
        <f>MAX(Rezultati[[#This Row],[1.izpit]],Rezultati[[#This Row],[2.izpit]],Rezultati[[#This Row],[3.izpit]])</f>
        <v>28</v>
      </c>
      <c r="N31"/>
      <c r="O31">
        <f>Rezultati[[#This Row],[DN]]+Rezultati[[#This Row],[Max]]+Rezultati[[#This Row],[Bonus]]</f>
        <v>31</v>
      </c>
      <c r="P31" cm="1">
        <f t="array" ref="P31">_xlfn.XLOOKUP(Rezultati[[#This Row],[Skupaj]],_xlfn.XLOOKUP(Rezultati[[#This Row],[Program]],Kriterij[[#Headers],[APF]:[PED]],Kriterij[[APF]:[PED]]), Kriterij[Ocena], "", -1, 2)</f>
        <v>5</v>
      </c>
    </row>
    <row r="32" spans="2:16" x14ac:dyDescent="0.2">
      <c r="B32">
        <v>27000030</v>
      </c>
      <c r="C32" t="s">
        <v>9</v>
      </c>
      <c r="D32">
        <f>_xlfn.IFNA(_xlfn.XLOOKUP(Rezultati[[#This Row],[Vpisna]], DomaceNaloge[Vpisna],DomaceNaloge[Skupaj]), 0)</f>
        <v>6</v>
      </c>
      <c r="E32" t="str">
        <f>_xlfn.IFNA(_xlfn.XLOOKUP(Rezultati[[#This Row],[Vpisna]], Izpit1[Vpisna],Izpit1[Skupaj]), "")</f>
        <v/>
      </c>
      <c r="F32" t="str">
        <f>_xlfn.IFNA(_xlfn.XLOOKUP(Rezultati[[#This Row],[Vpisna]], Izpit1[Vpisna],Izpit1[Računalnik]), "")</f>
        <v/>
      </c>
      <c r="G32" s="12" t="b">
        <v>0</v>
      </c>
      <c r="H32">
        <f>_xlfn.IFNA(_xlfn.XLOOKUP(Rezultati[[#This Row],[Vpisna]], Izpit2[Vpisna],Izpit2[Skupaj]), "")</f>
        <v>66</v>
      </c>
      <c r="I32" t="str">
        <f>_xlfn.IFNA(_xlfn.XLOOKUP(Rezultati[[#This Row],[Vpisna]], Izpit2[Vpisna],Izpit2[Računalnik]), "")</f>
        <v>svoj</v>
      </c>
      <c r="J32" s="12" t="b">
        <v>1</v>
      </c>
      <c r="K32" t="str">
        <f>_xlfn.IFNA(_xlfn.XLOOKUP(Rezultati[[#This Row],[Vpisna]], Izpit3[Vpisna],Izpit3[Skupaj]), "")</f>
        <v/>
      </c>
      <c r="L32" s="12" t="b">
        <v>0</v>
      </c>
      <c r="M32">
        <f>MAX(Rezultati[[#This Row],[1.izpit]],Rezultati[[#This Row],[2.izpit]],Rezultati[[#This Row],[3.izpit]])</f>
        <v>66</v>
      </c>
      <c r="N32"/>
      <c r="O32">
        <f>Rezultati[[#This Row],[DN]]+Rezultati[[#This Row],[Max]]+Rezultati[[#This Row],[Bonus]]</f>
        <v>72</v>
      </c>
      <c r="P32" cm="1">
        <f t="array" ref="P32">_xlfn.XLOOKUP(Rezultati[[#This Row],[Skupaj]],_xlfn.XLOOKUP(Rezultati[[#This Row],[Program]],Kriterij[[#Headers],[APF]:[PED]],Kriterij[[APF]:[PED]]), Kriterij[Ocena], "", -1, 2)</f>
        <v>8</v>
      </c>
    </row>
    <row r="33" spans="2:16" x14ac:dyDescent="0.2">
      <c r="B33">
        <v>27000031</v>
      </c>
      <c r="C33" t="s">
        <v>10</v>
      </c>
      <c r="D33">
        <f>_xlfn.IFNA(_xlfn.XLOOKUP(Rezultati[[#This Row],[Vpisna]], DomaceNaloge[Vpisna],DomaceNaloge[Skupaj]), 0)</f>
        <v>9</v>
      </c>
      <c r="E33">
        <f>_xlfn.IFNA(_xlfn.XLOOKUP(Rezultati[[#This Row],[Vpisna]], Izpit1[Vpisna],Izpit1[Skupaj]), "")</f>
        <v>86.5</v>
      </c>
      <c r="F33" t="str">
        <f>_xlfn.IFNA(_xlfn.XLOOKUP(Rezultati[[#This Row],[Vpisna]], Izpit1[Vpisna],Izpit1[Računalnik]), "")</f>
        <v>šolski</v>
      </c>
      <c r="G33" s="12" t="b">
        <v>1</v>
      </c>
      <c r="H33" t="str">
        <f>_xlfn.IFNA(_xlfn.XLOOKUP(Rezultati[[#This Row],[Vpisna]], Izpit2[Vpisna],Izpit2[Skupaj]), "")</f>
        <v/>
      </c>
      <c r="I33" t="str">
        <f>_xlfn.IFNA(_xlfn.XLOOKUP(Rezultati[[#This Row],[Vpisna]], Izpit2[Vpisna],Izpit2[Računalnik]), "")</f>
        <v/>
      </c>
      <c r="J33" s="12" t="b">
        <v>0</v>
      </c>
      <c r="K33" t="str">
        <f>_xlfn.IFNA(_xlfn.XLOOKUP(Rezultati[[#This Row],[Vpisna]], Izpit3[Vpisna],Izpit3[Skupaj]), "")</f>
        <v/>
      </c>
      <c r="L33" s="12" t="b">
        <v>0</v>
      </c>
      <c r="M33">
        <f>MAX(Rezultati[[#This Row],[1.izpit]],Rezultati[[#This Row],[2.izpit]],Rezultati[[#This Row],[3.izpit]])</f>
        <v>86.5</v>
      </c>
      <c r="N33"/>
      <c r="O33">
        <f>Rezultati[[#This Row],[DN]]+Rezultati[[#This Row],[Max]]+Rezultati[[#This Row],[Bonus]]</f>
        <v>95.5</v>
      </c>
      <c r="P33" cm="1">
        <f t="array" ref="P33">_xlfn.XLOOKUP(Rezultati[[#This Row],[Skupaj]],_xlfn.XLOOKUP(Rezultati[[#This Row],[Program]],Kriterij[[#Headers],[APF]:[PED]],Kriterij[[APF]:[PED]]), Kriterij[Ocena], "", -1, 2)</f>
        <v>10</v>
      </c>
    </row>
    <row r="34" spans="2:16" x14ac:dyDescent="0.2">
      <c r="B34">
        <v>27000032</v>
      </c>
      <c r="C34" t="s">
        <v>10</v>
      </c>
      <c r="D34">
        <f>_xlfn.IFNA(_xlfn.XLOOKUP(Rezultati[[#This Row],[Vpisna]], DomaceNaloge[Vpisna],DomaceNaloge[Skupaj]), 0)</f>
        <v>0</v>
      </c>
      <c r="E34" t="str">
        <f>_xlfn.IFNA(_xlfn.XLOOKUP(Rezultati[[#This Row],[Vpisna]], Izpit1[Vpisna],Izpit1[Skupaj]), "")</f>
        <v/>
      </c>
      <c r="F34" t="str">
        <f>_xlfn.IFNA(_xlfn.XLOOKUP(Rezultati[[#This Row],[Vpisna]], Izpit1[Vpisna],Izpit1[Računalnik]), "")</f>
        <v/>
      </c>
      <c r="G34" s="12" t="b">
        <v>0</v>
      </c>
      <c r="H34" t="str">
        <f>_xlfn.IFNA(_xlfn.XLOOKUP(Rezultati[[#This Row],[Vpisna]], Izpit2[Vpisna],Izpit2[Skupaj]), "")</f>
        <v/>
      </c>
      <c r="I34" t="str">
        <f>_xlfn.IFNA(_xlfn.XLOOKUP(Rezultati[[#This Row],[Vpisna]], Izpit2[Vpisna],Izpit2[Računalnik]), "")</f>
        <v/>
      </c>
      <c r="J34" s="12" t="b">
        <v>0</v>
      </c>
      <c r="K34" t="str">
        <f>_xlfn.IFNA(_xlfn.XLOOKUP(Rezultati[[#This Row],[Vpisna]], Izpit3[Vpisna],Izpit3[Skupaj]), "")</f>
        <v/>
      </c>
      <c r="L34" s="12" t="b">
        <v>0</v>
      </c>
      <c r="M34">
        <f>MAX(Rezultati[[#This Row],[1.izpit]],Rezultati[[#This Row],[2.izpit]],Rezultati[[#This Row],[3.izpit]])</f>
        <v>0</v>
      </c>
      <c r="N34"/>
      <c r="O34">
        <f>Rezultati[[#This Row],[DN]]+Rezultati[[#This Row],[Max]]+Rezultati[[#This Row],[Bonus]]</f>
        <v>0</v>
      </c>
      <c r="P34" t="str" cm="1">
        <f t="array" ref="P34">_xlfn.XLOOKUP(Rezultati[[#This Row],[Skupaj]],_xlfn.XLOOKUP(Rezultati[[#This Row],[Program]],Kriterij[[#Headers],[APF]:[PED]],Kriterij[[APF]:[PED]]), Kriterij[Ocena], "", -1, 2)</f>
        <v/>
      </c>
    </row>
    <row r="35" spans="2:16" x14ac:dyDescent="0.2">
      <c r="B35">
        <v>27000033</v>
      </c>
      <c r="C35" t="s">
        <v>10</v>
      </c>
      <c r="D35">
        <f>_xlfn.IFNA(_xlfn.XLOOKUP(Rezultati[[#This Row],[Vpisna]], DomaceNaloge[Vpisna],DomaceNaloge[Skupaj]), 0)</f>
        <v>3</v>
      </c>
      <c r="E35">
        <f>_xlfn.IFNA(_xlfn.XLOOKUP(Rezultati[[#This Row],[Vpisna]], Izpit1[Vpisna],Izpit1[Skupaj]), "")</f>
        <v>64</v>
      </c>
      <c r="F35" t="str">
        <f>_xlfn.IFNA(_xlfn.XLOOKUP(Rezultati[[#This Row],[Vpisna]], Izpit1[Vpisna],Izpit1[Računalnik]), "")</f>
        <v>svoj</v>
      </c>
      <c r="G35" s="12" t="b">
        <v>1</v>
      </c>
      <c r="H35" t="str">
        <f>_xlfn.IFNA(_xlfn.XLOOKUP(Rezultati[[#This Row],[Vpisna]], Izpit2[Vpisna],Izpit2[Skupaj]), "")</f>
        <v/>
      </c>
      <c r="I35" t="str">
        <f>_xlfn.IFNA(_xlfn.XLOOKUP(Rezultati[[#This Row],[Vpisna]], Izpit2[Vpisna],Izpit2[Računalnik]), "")</f>
        <v/>
      </c>
      <c r="J35" s="12" t="b">
        <v>0</v>
      </c>
      <c r="K35" t="str">
        <f>_xlfn.IFNA(_xlfn.XLOOKUP(Rezultati[[#This Row],[Vpisna]], Izpit3[Vpisna],Izpit3[Skupaj]), "")</f>
        <v/>
      </c>
      <c r="L35" s="12" t="b">
        <v>0</v>
      </c>
      <c r="M35">
        <f>MAX(Rezultati[[#This Row],[1.izpit]],Rezultati[[#This Row],[2.izpit]],Rezultati[[#This Row],[3.izpit]])</f>
        <v>64</v>
      </c>
      <c r="N35"/>
      <c r="O35">
        <f>Rezultati[[#This Row],[DN]]+Rezultati[[#This Row],[Max]]+Rezultati[[#This Row],[Bonus]]</f>
        <v>67</v>
      </c>
      <c r="P35" cm="1">
        <f t="array" ref="P35">_xlfn.XLOOKUP(Rezultati[[#This Row],[Skupaj]],_xlfn.XLOOKUP(Rezultati[[#This Row],[Program]],Kriterij[[#Headers],[APF]:[PED]],Kriterij[[APF]:[PED]]), Kriterij[Ocena], "", -1, 2)</f>
        <v>7</v>
      </c>
    </row>
    <row r="36" spans="2:16" x14ac:dyDescent="0.2">
      <c r="B36">
        <v>27000034</v>
      </c>
      <c r="C36" t="s">
        <v>10</v>
      </c>
      <c r="D36">
        <f>_xlfn.IFNA(_xlfn.XLOOKUP(Rezultati[[#This Row],[Vpisna]], DomaceNaloge[Vpisna],DomaceNaloge[Skupaj]), 0)</f>
        <v>0</v>
      </c>
      <c r="E36" t="str">
        <f>_xlfn.IFNA(_xlfn.XLOOKUP(Rezultati[[#This Row],[Vpisna]], Izpit1[Vpisna],Izpit1[Skupaj]), "")</f>
        <v/>
      </c>
      <c r="F36" t="str">
        <f>_xlfn.IFNA(_xlfn.XLOOKUP(Rezultati[[#This Row],[Vpisna]], Izpit1[Vpisna],Izpit1[Računalnik]), "")</f>
        <v/>
      </c>
      <c r="G36" s="12" t="b">
        <v>0</v>
      </c>
      <c r="H36" t="str">
        <f>_xlfn.IFNA(_xlfn.XLOOKUP(Rezultati[[#This Row],[Vpisna]], Izpit2[Vpisna],Izpit2[Skupaj]), "")</f>
        <v/>
      </c>
      <c r="I36" t="str">
        <f>_xlfn.IFNA(_xlfn.XLOOKUP(Rezultati[[#This Row],[Vpisna]], Izpit2[Vpisna],Izpit2[Računalnik]), "")</f>
        <v/>
      </c>
      <c r="J36" s="12" t="b">
        <v>0</v>
      </c>
      <c r="K36" t="str">
        <f>_xlfn.IFNA(_xlfn.XLOOKUP(Rezultati[[#This Row],[Vpisna]], Izpit3[Vpisna],Izpit3[Skupaj]), "")</f>
        <v/>
      </c>
      <c r="L36" s="12" t="b">
        <v>0</v>
      </c>
      <c r="M36">
        <f>MAX(Rezultati[[#This Row],[1.izpit]],Rezultati[[#This Row],[2.izpit]],Rezultati[[#This Row],[3.izpit]])</f>
        <v>0</v>
      </c>
      <c r="N36"/>
      <c r="O36">
        <f>Rezultati[[#This Row],[DN]]+Rezultati[[#This Row],[Max]]+Rezultati[[#This Row],[Bonus]]</f>
        <v>0</v>
      </c>
      <c r="P36" t="str" cm="1">
        <f t="array" ref="P36">_xlfn.XLOOKUP(Rezultati[[#This Row],[Skupaj]],_xlfn.XLOOKUP(Rezultati[[#This Row],[Program]],Kriterij[[#Headers],[APF]:[PED]],Kriterij[[APF]:[PED]]), Kriterij[Ocena], "", -1, 2)</f>
        <v/>
      </c>
    </row>
    <row r="37" spans="2:16" x14ac:dyDescent="0.2">
      <c r="B37">
        <v>27000035</v>
      </c>
      <c r="C37" t="s">
        <v>10</v>
      </c>
      <c r="D37">
        <f>_xlfn.IFNA(_xlfn.XLOOKUP(Rezultati[[#This Row],[Vpisna]], DomaceNaloge[Vpisna],DomaceNaloge[Skupaj]), 0)</f>
        <v>0</v>
      </c>
      <c r="E37" t="str">
        <f>_xlfn.IFNA(_xlfn.XLOOKUP(Rezultati[[#This Row],[Vpisna]], Izpit1[Vpisna],Izpit1[Skupaj]), "")</f>
        <v/>
      </c>
      <c r="F37" t="str">
        <f>_xlfn.IFNA(_xlfn.XLOOKUP(Rezultati[[#This Row],[Vpisna]], Izpit1[Vpisna],Izpit1[Računalnik]), "")</f>
        <v/>
      </c>
      <c r="G37" s="12" t="b">
        <v>0</v>
      </c>
      <c r="H37" t="str">
        <f>_xlfn.IFNA(_xlfn.XLOOKUP(Rezultati[[#This Row],[Vpisna]], Izpit2[Vpisna],Izpit2[Skupaj]), "")</f>
        <v/>
      </c>
      <c r="I37" t="str">
        <f>_xlfn.IFNA(_xlfn.XLOOKUP(Rezultati[[#This Row],[Vpisna]], Izpit2[Vpisna],Izpit2[Računalnik]), "")</f>
        <v/>
      </c>
      <c r="J37" s="12" t="b">
        <v>0</v>
      </c>
      <c r="K37" t="str">
        <f>_xlfn.IFNA(_xlfn.XLOOKUP(Rezultati[[#This Row],[Vpisna]], Izpit3[Vpisna],Izpit3[Skupaj]), "")</f>
        <v/>
      </c>
      <c r="L37" s="12" t="b">
        <v>0</v>
      </c>
      <c r="M37">
        <f>MAX(Rezultati[[#This Row],[1.izpit]],Rezultati[[#This Row],[2.izpit]],Rezultati[[#This Row],[3.izpit]])</f>
        <v>0</v>
      </c>
      <c r="N37"/>
      <c r="O37">
        <f>Rezultati[[#This Row],[DN]]+Rezultati[[#This Row],[Max]]+Rezultati[[#This Row],[Bonus]]</f>
        <v>0</v>
      </c>
      <c r="P37" t="str" cm="1">
        <f t="array" ref="P37">_xlfn.XLOOKUP(Rezultati[[#This Row],[Skupaj]],_xlfn.XLOOKUP(Rezultati[[#This Row],[Program]],Kriterij[[#Headers],[APF]:[PED]],Kriterij[[APF]:[PED]]), Kriterij[Ocena], "", -1, 2)</f>
        <v/>
      </c>
    </row>
    <row r="38" spans="2:16" x14ac:dyDescent="0.2">
      <c r="B38">
        <v>27000036</v>
      </c>
      <c r="C38" t="s">
        <v>10</v>
      </c>
      <c r="D38">
        <f>_xlfn.IFNA(_xlfn.XLOOKUP(Rezultati[[#This Row],[Vpisna]], DomaceNaloge[Vpisna],DomaceNaloge[Skupaj]), 0)</f>
        <v>0</v>
      </c>
      <c r="E38" t="str">
        <f>_xlfn.IFNA(_xlfn.XLOOKUP(Rezultati[[#This Row],[Vpisna]], Izpit1[Vpisna],Izpit1[Skupaj]), "")</f>
        <v/>
      </c>
      <c r="F38" t="str">
        <f>_xlfn.IFNA(_xlfn.XLOOKUP(Rezultati[[#This Row],[Vpisna]], Izpit1[Vpisna],Izpit1[Računalnik]), "")</f>
        <v/>
      </c>
      <c r="G38" s="12" t="b">
        <v>0</v>
      </c>
      <c r="H38" t="str">
        <f>_xlfn.IFNA(_xlfn.XLOOKUP(Rezultati[[#This Row],[Vpisna]], Izpit2[Vpisna],Izpit2[Skupaj]), "")</f>
        <v/>
      </c>
      <c r="I38" t="str">
        <f>_xlfn.IFNA(_xlfn.XLOOKUP(Rezultati[[#This Row],[Vpisna]], Izpit2[Vpisna],Izpit2[Računalnik]), "")</f>
        <v/>
      </c>
      <c r="J38" s="12" t="b">
        <v>0</v>
      </c>
      <c r="K38" t="str">
        <f>_xlfn.IFNA(_xlfn.XLOOKUP(Rezultati[[#This Row],[Vpisna]], Izpit3[Vpisna],Izpit3[Skupaj]), "")</f>
        <v/>
      </c>
      <c r="L38" s="12" t="b">
        <v>0</v>
      </c>
      <c r="M38">
        <f>MAX(Rezultati[[#This Row],[1.izpit]],Rezultati[[#This Row],[2.izpit]],Rezultati[[#This Row],[3.izpit]])</f>
        <v>0</v>
      </c>
      <c r="N38"/>
      <c r="O38">
        <f>Rezultati[[#This Row],[DN]]+Rezultati[[#This Row],[Max]]+Rezultati[[#This Row],[Bonus]]</f>
        <v>0</v>
      </c>
      <c r="P38" t="str" cm="1">
        <f t="array" ref="P38">_xlfn.XLOOKUP(Rezultati[[#This Row],[Skupaj]],_xlfn.XLOOKUP(Rezultati[[#This Row],[Program]],Kriterij[[#Headers],[APF]:[PED]],Kriterij[[APF]:[PED]]), Kriterij[Ocena], "", -1, 2)</f>
        <v/>
      </c>
    </row>
    <row r="39" spans="2:16" x14ac:dyDescent="0.2">
      <c r="B39">
        <v>27000037</v>
      </c>
      <c r="C39" t="s">
        <v>10</v>
      </c>
      <c r="D39">
        <f>_xlfn.IFNA(_xlfn.XLOOKUP(Rezultati[[#This Row],[Vpisna]], DomaceNaloge[Vpisna],DomaceNaloge[Skupaj]), 0)</f>
        <v>0</v>
      </c>
      <c r="E39" t="str">
        <f>_xlfn.IFNA(_xlfn.XLOOKUP(Rezultati[[#This Row],[Vpisna]], Izpit1[Vpisna],Izpit1[Skupaj]), "")</f>
        <v/>
      </c>
      <c r="F39" t="str">
        <f>_xlfn.IFNA(_xlfn.XLOOKUP(Rezultati[[#This Row],[Vpisna]], Izpit1[Vpisna],Izpit1[Računalnik]), "")</f>
        <v/>
      </c>
      <c r="G39" s="12" t="b">
        <v>0</v>
      </c>
      <c r="H39" t="str">
        <f>_xlfn.IFNA(_xlfn.XLOOKUP(Rezultati[[#This Row],[Vpisna]], Izpit2[Vpisna],Izpit2[Skupaj]), "")</f>
        <v/>
      </c>
      <c r="I39" t="str">
        <f>_xlfn.IFNA(_xlfn.XLOOKUP(Rezultati[[#This Row],[Vpisna]], Izpit2[Vpisna],Izpit2[Računalnik]), "")</f>
        <v/>
      </c>
      <c r="J39" s="12" t="b">
        <v>0</v>
      </c>
      <c r="K39" t="str">
        <f>_xlfn.IFNA(_xlfn.XLOOKUP(Rezultati[[#This Row],[Vpisna]], Izpit3[Vpisna],Izpit3[Skupaj]), "")</f>
        <v/>
      </c>
      <c r="L39" s="12" t="b">
        <v>0</v>
      </c>
      <c r="M39">
        <f>MAX(Rezultati[[#This Row],[1.izpit]],Rezultati[[#This Row],[2.izpit]],Rezultati[[#This Row],[3.izpit]])</f>
        <v>0</v>
      </c>
      <c r="N39"/>
      <c r="O39">
        <f>Rezultati[[#This Row],[DN]]+Rezultati[[#This Row],[Max]]+Rezultati[[#This Row],[Bonus]]</f>
        <v>0</v>
      </c>
      <c r="P39" t="str" cm="1">
        <f t="array" ref="P39">_xlfn.XLOOKUP(Rezultati[[#This Row],[Skupaj]],_xlfn.XLOOKUP(Rezultati[[#This Row],[Program]],Kriterij[[#Headers],[APF]:[PED]],Kriterij[[APF]:[PED]]), Kriterij[Ocena], "", -1, 2)</f>
        <v/>
      </c>
    </row>
    <row r="40" spans="2:16" x14ac:dyDescent="0.2">
      <c r="B40">
        <v>27000038</v>
      </c>
      <c r="C40" t="s">
        <v>10</v>
      </c>
      <c r="D40">
        <f>_xlfn.IFNA(_xlfn.XLOOKUP(Rezultati[[#This Row],[Vpisna]], DomaceNaloge[Vpisna],DomaceNaloge[Skupaj]), 0)</f>
        <v>0</v>
      </c>
      <c r="E40" t="str">
        <f>_xlfn.IFNA(_xlfn.XLOOKUP(Rezultati[[#This Row],[Vpisna]], Izpit1[Vpisna],Izpit1[Skupaj]), "")</f>
        <v/>
      </c>
      <c r="F40" t="str">
        <f>_xlfn.IFNA(_xlfn.XLOOKUP(Rezultati[[#This Row],[Vpisna]], Izpit1[Vpisna],Izpit1[Računalnik]), "")</f>
        <v/>
      </c>
      <c r="G40" s="12" t="b">
        <v>0</v>
      </c>
      <c r="H40" t="str">
        <f>_xlfn.IFNA(_xlfn.XLOOKUP(Rezultati[[#This Row],[Vpisna]], Izpit2[Vpisna],Izpit2[Skupaj]), "")</f>
        <v/>
      </c>
      <c r="I40" t="str">
        <f>_xlfn.IFNA(_xlfn.XLOOKUP(Rezultati[[#This Row],[Vpisna]], Izpit2[Vpisna],Izpit2[Računalnik]), "")</f>
        <v/>
      </c>
      <c r="J40" s="12" t="b">
        <v>0</v>
      </c>
      <c r="K40" t="str">
        <f>_xlfn.IFNA(_xlfn.XLOOKUP(Rezultati[[#This Row],[Vpisna]], Izpit3[Vpisna],Izpit3[Skupaj]), "")</f>
        <v/>
      </c>
      <c r="L40" s="12" t="b">
        <v>0</v>
      </c>
      <c r="M40">
        <f>MAX(Rezultati[[#This Row],[1.izpit]],Rezultati[[#This Row],[2.izpit]],Rezultati[[#This Row],[3.izpit]])</f>
        <v>0</v>
      </c>
      <c r="N40"/>
      <c r="O40">
        <f>Rezultati[[#This Row],[DN]]+Rezultati[[#This Row],[Max]]+Rezultati[[#This Row],[Bonus]]</f>
        <v>0</v>
      </c>
      <c r="P40" t="str" cm="1">
        <f t="array" ref="P40">_xlfn.XLOOKUP(Rezultati[[#This Row],[Skupaj]],_xlfn.XLOOKUP(Rezultati[[#This Row],[Program]],Kriterij[[#Headers],[APF]:[PED]],Kriterij[[APF]:[PED]]), Kriterij[Ocena], "", -1, 2)</f>
        <v/>
      </c>
    </row>
    <row r="41" spans="2:16" x14ac:dyDescent="0.2">
      <c r="B41">
        <v>27000039</v>
      </c>
      <c r="C41" t="s">
        <v>10</v>
      </c>
      <c r="D41">
        <f>_xlfn.IFNA(_xlfn.XLOOKUP(Rezultati[[#This Row],[Vpisna]], DomaceNaloge[Vpisna],DomaceNaloge[Skupaj]), 0)</f>
        <v>0</v>
      </c>
      <c r="E41" t="str">
        <f>_xlfn.IFNA(_xlfn.XLOOKUP(Rezultati[[#This Row],[Vpisna]], Izpit1[Vpisna],Izpit1[Skupaj]), "")</f>
        <v/>
      </c>
      <c r="F41" t="str">
        <f>_xlfn.IFNA(_xlfn.XLOOKUP(Rezultati[[#This Row],[Vpisna]], Izpit1[Vpisna],Izpit1[Računalnik]), "")</f>
        <v/>
      </c>
      <c r="G41" s="12" t="b">
        <v>0</v>
      </c>
      <c r="H41" t="str">
        <f>_xlfn.IFNA(_xlfn.XLOOKUP(Rezultati[[#This Row],[Vpisna]], Izpit2[Vpisna],Izpit2[Skupaj]), "")</f>
        <v/>
      </c>
      <c r="I41" t="str">
        <f>_xlfn.IFNA(_xlfn.XLOOKUP(Rezultati[[#This Row],[Vpisna]], Izpit2[Vpisna],Izpit2[Računalnik]), "")</f>
        <v/>
      </c>
      <c r="J41" s="12" t="b">
        <v>0</v>
      </c>
      <c r="K41" t="str">
        <f>_xlfn.IFNA(_xlfn.XLOOKUP(Rezultati[[#This Row],[Vpisna]], Izpit3[Vpisna],Izpit3[Skupaj]), "")</f>
        <v/>
      </c>
      <c r="L41" s="12" t="b">
        <v>0</v>
      </c>
      <c r="M41">
        <f>MAX(Rezultati[[#This Row],[1.izpit]],Rezultati[[#This Row],[2.izpit]],Rezultati[[#This Row],[3.izpit]])</f>
        <v>0</v>
      </c>
      <c r="N41"/>
      <c r="O41">
        <f>Rezultati[[#This Row],[DN]]+Rezultati[[#This Row],[Max]]+Rezultati[[#This Row],[Bonus]]</f>
        <v>0</v>
      </c>
      <c r="P41" t="str" cm="1">
        <f t="array" ref="P41">_xlfn.XLOOKUP(Rezultati[[#This Row],[Skupaj]],_xlfn.XLOOKUP(Rezultati[[#This Row],[Program]],Kriterij[[#Headers],[APF]:[PED]],Kriterij[[APF]:[PED]]), Kriterij[Ocena], "", -1, 2)</f>
        <v/>
      </c>
    </row>
    <row r="42" spans="2:16" x14ac:dyDescent="0.2">
      <c r="B42">
        <v>27000040</v>
      </c>
      <c r="C42" t="s">
        <v>10</v>
      </c>
      <c r="D42">
        <f>_xlfn.IFNA(_xlfn.XLOOKUP(Rezultati[[#This Row],[Vpisna]], DomaceNaloge[Vpisna],DomaceNaloge[Skupaj]), 0)</f>
        <v>0</v>
      </c>
      <c r="E42" t="str">
        <f>_xlfn.IFNA(_xlfn.XLOOKUP(Rezultati[[#This Row],[Vpisna]], Izpit1[Vpisna],Izpit1[Skupaj]), "")</f>
        <v/>
      </c>
      <c r="F42" t="str">
        <f>_xlfn.IFNA(_xlfn.XLOOKUP(Rezultati[[#This Row],[Vpisna]], Izpit1[Vpisna],Izpit1[Računalnik]), "")</f>
        <v/>
      </c>
      <c r="G42" s="12" t="b">
        <v>0</v>
      </c>
      <c r="H42" t="str">
        <f>_xlfn.IFNA(_xlfn.XLOOKUP(Rezultati[[#This Row],[Vpisna]], Izpit2[Vpisna],Izpit2[Skupaj]), "")</f>
        <v/>
      </c>
      <c r="I42" t="str">
        <f>_xlfn.IFNA(_xlfn.XLOOKUP(Rezultati[[#This Row],[Vpisna]], Izpit2[Vpisna],Izpit2[Računalnik]), "")</f>
        <v/>
      </c>
      <c r="J42" s="12" t="b">
        <v>0</v>
      </c>
      <c r="K42" t="str">
        <f>_xlfn.IFNA(_xlfn.XLOOKUP(Rezultati[[#This Row],[Vpisna]], Izpit3[Vpisna],Izpit3[Skupaj]), "")</f>
        <v/>
      </c>
      <c r="L42" s="12" t="b">
        <v>0</v>
      </c>
      <c r="M42">
        <f>MAX(Rezultati[[#This Row],[1.izpit]],Rezultati[[#This Row],[2.izpit]],Rezultati[[#This Row],[3.izpit]])</f>
        <v>0</v>
      </c>
      <c r="N42"/>
      <c r="O42">
        <f>Rezultati[[#This Row],[DN]]+Rezultati[[#This Row],[Max]]+Rezultati[[#This Row],[Bonus]]</f>
        <v>0</v>
      </c>
      <c r="P42" t="str" cm="1">
        <f t="array" ref="P42">_xlfn.XLOOKUP(Rezultati[[#This Row],[Skupaj]],_xlfn.XLOOKUP(Rezultati[[#This Row],[Program]],Kriterij[[#Headers],[APF]:[PED]],Kriterij[[APF]:[PED]]), Kriterij[Ocena], "", -1, 2)</f>
        <v/>
      </c>
    </row>
    <row r="43" spans="2:16" x14ac:dyDescent="0.2">
      <c r="B43">
        <v>27000041</v>
      </c>
      <c r="C43" t="s">
        <v>10</v>
      </c>
      <c r="D43">
        <f>_xlfn.IFNA(_xlfn.XLOOKUP(Rezultati[[#This Row],[Vpisna]], DomaceNaloge[Vpisna],DomaceNaloge[Skupaj]), 0)</f>
        <v>0</v>
      </c>
      <c r="E43" t="str">
        <f>_xlfn.IFNA(_xlfn.XLOOKUP(Rezultati[[#This Row],[Vpisna]], Izpit1[Vpisna],Izpit1[Skupaj]), "")</f>
        <v/>
      </c>
      <c r="F43" t="str">
        <f>_xlfn.IFNA(_xlfn.XLOOKUP(Rezultati[[#This Row],[Vpisna]], Izpit1[Vpisna],Izpit1[Računalnik]), "")</f>
        <v/>
      </c>
      <c r="G43" s="12" t="b">
        <v>0</v>
      </c>
      <c r="H43" t="str">
        <f>_xlfn.IFNA(_xlfn.XLOOKUP(Rezultati[[#This Row],[Vpisna]], Izpit2[Vpisna],Izpit2[Skupaj]), "")</f>
        <v/>
      </c>
      <c r="I43" t="str">
        <f>_xlfn.IFNA(_xlfn.XLOOKUP(Rezultati[[#This Row],[Vpisna]], Izpit2[Vpisna],Izpit2[Računalnik]), "")</f>
        <v/>
      </c>
      <c r="J43" s="12" t="b">
        <v>0</v>
      </c>
      <c r="K43" t="str">
        <f>_xlfn.IFNA(_xlfn.XLOOKUP(Rezultati[[#This Row],[Vpisna]], Izpit3[Vpisna],Izpit3[Skupaj]), "")</f>
        <v/>
      </c>
      <c r="L43" s="12" t="b">
        <v>0</v>
      </c>
      <c r="M43">
        <f>MAX(Rezultati[[#This Row],[1.izpit]],Rezultati[[#This Row],[2.izpit]],Rezultati[[#This Row],[3.izpit]])</f>
        <v>0</v>
      </c>
      <c r="N43"/>
      <c r="O43">
        <f>Rezultati[[#This Row],[DN]]+Rezultati[[#This Row],[Max]]+Rezultati[[#This Row],[Bonus]]</f>
        <v>0</v>
      </c>
      <c r="P43" t="str" cm="1">
        <f t="array" ref="P43">_xlfn.XLOOKUP(Rezultati[[#This Row],[Skupaj]],_xlfn.XLOOKUP(Rezultati[[#This Row],[Program]],Kriterij[[#Headers],[APF]:[PED]],Kriterij[[APF]:[PED]]), Kriterij[Ocena], "", -1, 2)</f>
        <v/>
      </c>
    </row>
    <row r="44" spans="2:16" x14ac:dyDescent="0.2">
      <c r="B44">
        <v>27000042</v>
      </c>
      <c r="C44" t="s">
        <v>10</v>
      </c>
      <c r="D44">
        <f>_xlfn.IFNA(_xlfn.XLOOKUP(Rezultati[[#This Row],[Vpisna]], DomaceNaloge[Vpisna],DomaceNaloge[Skupaj]), 0)</f>
        <v>0</v>
      </c>
      <c r="E44" t="str">
        <f>_xlfn.IFNA(_xlfn.XLOOKUP(Rezultati[[#This Row],[Vpisna]], Izpit1[Vpisna],Izpit1[Skupaj]), "")</f>
        <v/>
      </c>
      <c r="F44" t="str">
        <f>_xlfn.IFNA(_xlfn.XLOOKUP(Rezultati[[#This Row],[Vpisna]], Izpit1[Vpisna],Izpit1[Računalnik]), "")</f>
        <v/>
      </c>
      <c r="G44" s="12" t="b">
        <v>0</v>
      </c>
      <c r="H44" t="str">
        <f>_xlfn.IFNA(_xlfn.XLOOKUP(Rezultati[[#This Row],[Vpisna]], Izpit2[Vpisna],Izpit2[Skupaj]), "")</f>
        <v/>
      </c>
      <c r="I44" t="str">
        <f>_xlfn.IFNA(_xlfn.XLOOKUP(Rezultati[[#This Row],[Vpisna]], Izpit2[Vpisna],Izpit2[Računalnik]), "")</f>
        <v/>
      </c>
      <c r="J44" s="12" t="b">
        <v>0</v>
      </c>
      <c r="K44" t="str">
        <f>_xlfn.IFNA(_xlfn.XLOOKUP(Rezultati[[#This Row],[Vpisna]], Izpit3[Vpisna],Izpit3[Skupaj]), "")</f>
        <v/>
      </c>
      <c r="L44" s="12" t="b">
        <v>0</v>
      </c>
      <c r="M44">
        <f>MAX(Rezultati[[#This Row],[1.izpit]],Rezultati[[#This Row],[2.izpit]],Rezultati[[#This Row],[3.izpit]])</f>
        <v>0</v>
      </c>
      <c r="N44"/>
      <c r="O44">
        <f>Rezultati[[#This Row],[DN]]+Rezultati[[#This Row],[Max]]+Rezultati[[#This Row],[Bonus]]</f>
        <v>0</v>
      </c>
      <c r="P44" t="str" cm="1">
        <f t="array" ref="P44">_xlfn.XLOOKUP(Rezultati[[#This Row],[Skupaj]],_xlfn.XLOOKUP(Rezultati[[#This Row],[Program]],Kriterij[[#Headers],[APF]:[PED]],Kriterij[[APF]:[PED]]), Kriterij[Ocena], "", -1, 2)</f>
        <v/>
      </c>
    </row>
    <row r="45" spans="2:16" x14ac:dyDescent="0.2">
      <c r="B45">
        <v>27000043</v>
      </c>
      <c r="C45" t="s">
        <v>10</v>
      </c>
      <c r="D45">
        <f>_xlfn.IFNA(_xlfn.XLOOKUP(Rezultati[[#This Row],[Vpisna]], DomaceNaloge[Vpisna],DomaceNaloge[Skupaj]), 0)</f>
        <v>0</v>
      </c>
      <c r="E45" t="str">
        <f>_xlfn.IFNA(_xlfn.XLOOKUP(Rezultati[[#This Row],[Vpisna]], Izpit1[Vpisna],Izpit1[Skupaj]), "")</f>
        <v/>
      </c>
      <c r="F45" t="str">
        <f>_xlfn.IFNA(_xlfn.XLOOKUP(Rezultati[[#This Row],[Vpisna]], Izpit1[Vpisna],Izpit1[Računalnik]), "")</f>
        <v/>
      </c>
      <c r="G45" s="12" t="b">
        <v>0</v>
      </c>
      <c r="H45" t="str">
        <f>_xlfn.IFNA(_xlfn.XLOOKUP(Rezultati[[#This Row],[Vpisna]], Izpit2[Vpisna],Izpit2[Skupaj]), "")</f>
        <v/>
      </c>
      <c r="I45" t="str">
        <f>_xlfn.IFNA(_xlfn.XLOOKUP(Rezultati[[#This Row],[Vpisna]], Izpit2[Vpisna],Izpit2[Računalnik]), "")</f>
        <v/>
      </c>
      <c r="J45" s="12" t="b">
        <v>0</v>
      </c>
      <c r="K45" t="str">
        <f>_xlfn.IFNA(_xlfn.XLOOKUP(Rezultati[[#This Row],[Vpisna]], Izpit3[Vpisna],Izpit3[Skupaj]), "")</f>
        <v/>
      </c>
      <c r="L45" s="12" t="b">
        <v>0</v>
      </c>
      <c r="M45">
        <f>MAX(Rezultati[[#This Row],[1.izpit]],Rezultati[[#This Row],[2.izpit]],Rezultati[[#This Row],[3.izpit]])</f>
        <v>0</v>
      </c>
      <c r="N45"/>
      <c r="O45">
        <f>Rezultati[[#This Row],[DN]]+Rezultati[[#This Row],[Max]]+Rezultati[[#This Row],[Bonus]]</f>
        <v>0</v>
      </c>
      <c r="P45" t="str" cm="1">
        <f t="array" ref="P45">_xlfn.XLOOKUP(Rezultati[[#This Row],[Skupaj]],_xlfn.XLOOKUP(Rezultati[[#This Row],[Program]],Kriterij[[#Headers],[APF]:[PED]],Kriterij[[APF]:[PED]]), Kriterij[Ocena], "", -1, 2)</f>
        <v/>
      </c>
    </row>
    <row r="46" spans="2:16" x14ac:dyDescent="0.2">
      <c r="B46">
        <v>27000044</v>
      </c>
      <c r="C46" t="s">
        <v>10</v>
      </c>
      <c r="D46">
        <f>_xlfn.IFNA(_xlfn.XLOOKUP(Rezultati[[#This Row],[Vpisna]], DomaceNaloge[Vpisna],DomaceNaloge[Skupaj]), 0)</f>
        <v>9</v>
      </c>
      <c r="E46">
        <f>_xlfn.IFNA(_xlfn.XLOOKUP(Rezultati[[#This Row],[Vpisna]], Izpit1[Vpisna],Izpit1[Skupaj]), "")</f>
        <v>95</v>
      </c>
      <c r="F46" t="str">
        <f>_xlfn.IFNA(_xlfn.XLOOKUP(Rezultati[[#This Row],[Vpisna]], Izpit1[Vpisna],Izpit1[Računalnik]), "")</f>
        <v>šolski</v>
      </c>
      <c r="G46" s="12" t="b">
        <v>1</v>
      </c>
      <c r="H46" t="str">
        <f>_xlfn.IFNA(_xlfn.XLOOKUP(Rezultati[[#This Row],[Vpisna]], Izpit2[Vpisna],Izpit2[Skupaj]), "")</f>
        <v/>
      </c>
      <c r="I46" t="str">
        <f>_xlfn.IFNA(_xlfn.XLOOKUP(Rezultati[[#This Row],[Vpisna]], Izpit2[Vpisna],Izpit2[Računalnik]), "")</f>
        <v/>
      </c>
      <c r="J46" s="12" t="b">
        <v>0</v>
      </c>
      <c r="K46" t="str">
        <f>_xlfn.IFNA(_xlfn.XLOOKUP(Rezultati[[#This Row],[Vpisna]], Izpit3[Vpisna],Izpit3[Skupaj]), "")</f>
        <v/>
      </c>
      <c r="L46" s="12" t="b">
        <v>0</v>
      </c>
      <c r="M46">
        <f>MAX(Rezultati[[#This Row],[1.izpit]],Rezultati[[#This Row],[2.izpit]],Rezultati[[#This Row],[3.izpit]])</f>
        <v>95</v>
      </c>
      <c r="N46"/>
      <c r="O46">
        <f>Rezultati[[#This Row],[DN]]+Rezultati[[#This Row],[Max]]+Rezultati[[#This Row],[Bonus]]</f>
        <v>104</v>
      </c>
      <c r="P46" cm="1">
        <f t="array" ref="P46">_xlfn.XLOOKUP(Rezultati[[#This Row],[Skupaj]],_xlfn.XLOOKUP(Rezultati[[#This Row],[Program]],Kriterij[[#Headers],[APF]:[PED]],Kriterij[[APF]:[PED]]), Kriterij[Ocena], "", -1, 2)</f>
        <v>10</v>
      </c>
    </row>
    <row r="47" spans="2:16" x14ac:dyDescent="0.2">
      <c r="B47">
        <v>27000045</v>
      </c>
      <c r="C47" t="s">
        <v>10</v>
      </c>
      <c r="D47">
        <f>_xlfn.IFNA(_xlfn.XLOOKUP(Rezultati[[#This Row],[Vpisna]], DomaceNaloge[Vpisna],DomaceNaloge[Skupaj]), 0)</f>
        <v>0</v>
      </c>
      <c r="E47" t="str">
        <f>_xlfn.IFNA(_xlfn.XLOOKUP(Rezultati[[#This Row],[Vpisna]], Izpit1[Vpisna],Izpit1[Skupaj]), "")</f>
        <v/>
      </c>
      <c r="F47" t="str">
        <f>_xlfn.IFNA(_xlfn.XLOOKUP(Rezultati[[#This Row],[Vpisna]], Izpit1[Vpisna],Izpit1[Računalnik]), "")</f>
        <v/>
      </c>
      <c r="G47" s="12" t="b">
        <v>0</v>
      </c>
      <c r="H47" t="str">
        <f>_xlfn.IFNA(_xlfn.XLOOKUP(Rezultati[[#This Row],[Vpisna]], Izpit2[Vpisna],Izpit2[Skupaj]), "")</f>
        <v/>
      </c>
      <c r="I47" t="str">
        <f>_xlfn.IFNA(_xlfn.XLOOKUP(Rezultati[[#This Row],[Vpisna]], Izpit2[Vpisna],Izpit2[Računalnik]), "")</f>
        <v/>
      </c>
      <c r="J47" s="12" t="b">
        <v>0</v>
      </c>
      <c r="K47" t="str">
        <f>_xlfn.IFNA(_xlfn.XLOOKUP(Rezultati[[#This Row],[Vpisna]], Izpit3[Vpisna],Izpit3[Skupaj]), "")</f>
        <v/>
      </c>
      <c r="L47" s="12" t="b">
        <v>0</v>
      </c>
      <c r="M47">
        <f>MAX(Rezultati[[#This Row],[1.izpit]],Rezultati[[#This Row],[2.izpit]],Rezultati[[#This Row],[3.izpit]])</f>
        <v>0</v>
      </c>
      <c r="N47"/>
      <c r="O47">
        <f>Rezultati[[#This Row],[DN]]+Rezultati[[#This Row],[Max]]+Rezultati[[#This Row],[Bonus]]</f>
        <v>0</v>
      </c>
      <c r="P47" t="str" cm="1">
        <f t="array" ref="P47">_xlfn.XLOOKUP(Rezultati[[#This Row],[Skupaj]],_xlfn.XLOOKUP(Rezultati[[#This Row],[Program]],Kriterij[[#Headers],[APF]:[PED]],Kriterij[[APF]:[PED]]), Kriterij[Ocena], "", -1, 2)</f>
        <v/>
      </c>
    </row>
    <row r="48" spans="2:16" x14ac:dyDescent="0.2">
      <c r="B48">
        <v>27000046</v>
      </c>
      <c r="C48" t="s">
        <v>10</v>
      </c>
      <c r="D48">
        <f>_xlfn.IFNA(_xlfn.XLOOKUP(Rezultati[[#This Row],[Vpisna]], DomaceNaloge[Vpisna],DomaceNaloge[Skupaj]), 0)</f>
        <v>0</v>
      </c>
      <c r="E48" t="str">
        <f>_xlfn.IFNA(_xlfn.XLOOKUP(Rezultati[[#This Row],[Vpisna]], Izpit1[Vpisna],Izpit1[Skupaj]), "")</f>
        <v/>
      </c>
      <c r="F48" t="str">
        <f>_xlfn.IFNA(_xlfn.XLOOKUP(Rezultati[[#This Row],[Vpisna]], Izpit1[Vpisna],Izpit1[Računalnik]), "")</f>
        <v/>
      </c>
      <c r="G48" s="12" t="b">
        <v>0</v>
      </c>
      <c r="H48" t="str">
        <f>_xlfn.IFNA(_xlfn.XLOOKUP(Rezultati[[#This Row],[Vpisna]], Izpit2[Vpisna],Izpit2[Skupaj]), "")</f>
        <v/>
      </c>
      <c r="I48" t="str">
        <f>_xlfn.IFNA(_xlfn.XLOOKUP(Rezultati[[#This Row],[Vpisna]], Izpit2[Vpisna],Izpit2[Računalnik]), "")</f>
        <v/>
      </c>
      <c r="J48" s="12" t="b">
        <v>0</v>
      </c>
      <c r="K48" t="str">
        <f>_xlfn.IFNA(_xlfn.XLOOKUP(Rezultati[[#This Row],[Vpisna]], Izpit3[Vpisna],Izpit3[Skupaj]), "")</f>
        <v/>
      </c>
      <c r="L48" s="12" t="b">
        <v>0</v>
      </c>
      <c r="M48">
        <f>MAX(Rezultati[[#This Row],[1.izpit]],Rezultati[[#This Row],[2.izpit]],Rezultati[[#This Row],[3.izpit]])</f>
        <v>0</v>
      </c>
      <c r="N48"/>
      <c r="O48">
        <f>Rezultati[[#This Row],[DN]]+Rezultati[[#This Row],[Max]]+Rezultati[[#This Row],[Bonus]]</f>
        <v>0</v>
      </c>
      <c r="P48" t="str" cm="1">
        <f t="array" ref="P48">_xlfn.XLOOKUP(Rezultati[[#This Row],[Skupaj]],_xlfn.XLOOKUP(Rezultati[[#This Row],[Program]],Kriterij[[#Headers],[APF]:[PED]],Kriterij[[APF]:[PED]]), Kriterij[Ocena], "", -1, 2)</f>
        <v/>
      </c>
    </row>
    <row r="49" spans="2:16" x14ac:dyDescent="0.2">
      <c r="B49">
        <v>27000047</v>
      </c>
      <c r="C49" t="s">
        <v>10</v>
      </c>
      <c r="D49">
        <f>_xlfn.IFNA(_xlfn.XLOOKUP(Rezultati[[#This Row],[Vpisna]], DomaceNaloge[Vpisna],DomaceNaloge[Skupaj]), 0)</f>
        <v>0</v>
      </c>
      <c r="E49" t="str">
        <f>_xlfn.IFNA(_xlfn.XLOOKUP(Rezultati[[#This Row],[Vpisna]], Izpit1[Vpisna],Izpit1[Skupaj]), "")</f>
        <v/>
      </c>
      <c r="F49" t="str">
        <f>_xlfn.IFNA(_xlfn.XLOOKUP(Rezultati[[#This Row],[Vpisna]], Izpit1[Vpisna],Izpit1[Računalnik]), "")</f>
        <v/>
      </c>
      <c r="G49" s="12" t="b">
        <v>0</v>
      </c>
      <c r="H49" t="str">
        <f>_xlfn.IFNA(_xlfn.XLOOKUP(Rezultati[[#This Row],[Vpisna]], Izpit2[Vpisna],Izpit2[Skupaj]), "")</f>
        <v/>
      </c>
      <c r="I49" t="str">
        <f>_xlfn.IFNA(_xlfn.XLOOKUP(Rezultati[[#This Row],[Vpisna]], Izpit2[Vpisna],Izpit2[Računalnik]), "")</f>
        <v/>
      </c>
      <c r="J49" s="12" t="b">
        <v>0</v>
      </c>
      <c r="K49" t="str">
        <f>_xlfn.IFNA(_xlfn.XLOOKUP(Rezultati[[#This Row],[Vpisna]], Izpit3[Vpisna],Izpit3[Skupaj]), "")</f>
        <v/>
      </c>
      <c r="L49" s="12" t="b">
        <v>0</v>
      </c>
      <c r="M49">
        <f>MAX(Rezultati[[#This Row],[1.izpit]],Rezultati[[#This Row],[2.izpit]],Rezultati[[#This Row],[3.izpit]])</f>
        <v>0</v>
      </c>
      <c r="N49"/>
      <c r="O49">
        <f>Rezultati[[#This Row],[DN]]+Rezultati[[#This Row],[Max]]+Rezultati[[#This Row],[Bonus]]</f>
        <v>0</v>
      </c>
      <c r="P49" t="str" cm="1">
        <f t="array" ref="P49">_xlfn.XLOOKUP(Rezultati[[#This Row],[Skupaj]],_xlfn.XLOOKUP(Rezultati[[#This Row],[Program]],Kriterij[[#Headers],[APF]:[PED]],Kriterij[[APF]:[PED]]), Kriterij[Ocena], "", -1, 2)</f>
        <v/>
      </c>
    </row>
    <row r="50" spans="2:16" x14ac:dyDescent="0.2">
      <c r="B50">
        <v>27000048</v>
      </c>
      <c r="C50" t="s">
        <v>10</v>
      </c>
      <c r="D50">
        <f>_xlfn.IFNA(_xlfn.XLOOKUP(Rezultati[[#This Row],[Vpisna]], DomaceNaloge[Vpisna],DomaceNaloge[Skupaj]), 0)</f>
        <v>0</v>
      </c>
      <c r="E50" t="str">
        <f>_xlfn.IFNA(_xlfn.XLOOKUP(Rezultati[[#This Row],[Vpisna]], Izpit1[Vpisna],Izpit1[Skupaj]), "")</f>
        <v/>
      </c>
      <c r="F50" t="str">
        <f>_xlfn.IFNA(_xlfn.XLOOKUP(Rezultati[[#This Row],[Vpisna]], Izpit1[Vpisna],Izpit1[Računalnik]), "")</f>
        <v/>
      </c>
      <c r="G50" s="12" t="b">
        <v>0</v>
      </c>
      <c r="H50" t="str">
        <f>_xlfn.IFNA(_xlfn.XLOOKUP(Rezultati[[#This Row],[Vpisna]], Izpit2[Vpisna],Izpit2[Skupaj]), "")</f>
        <v/>
      </c>
      <c r="I50" t="str">
        <f>_xlfn.IFNA(_xlfn.XLOOKUP(Rezultati[[#This Row],[Vpisna]], Izpit2[Vpisna],Izpit2[Računalnik]), "")</f>
        <v/>
      </c>
      <c r="J50" s="12" t="b">
        <v>0</v>
      </c>
      <c r="K50" t="str">
        <f>_xlfn.IFNA(_xlfn.XLOOKUP(Rezultati[[#This Row],[Vpisna]], Izpit3[Vpisna],Izpit3[Skupaj]), "")</f>
        <v/>
      </c>
      <c r="L50" s="12" t="b">
        <v>0</v>
      </c>
      <c r="M50">
        <f>MAX(Rezultati[[#This Row],[1.izpit]],Rezultati[[#This Row],[2.izpit]],Rezultati[[#This Row],[3.izpit]])</f>
        <v>0</v>
      </c>
      <c r="N50"/>
      <c r="O50">
        <f>Rezultati[[#This Row],[DN]]+Rezultati[[#This Row],[Max]]+Rezultati[[#This Row],[Bonus]]</f>
        <v>0</v>
      </c>
      <c r="P50" t="str" cm="1">
        <f t="array" ref="P50">_xlfn.XLOOKUP(Rezultati[[#This Row],[Skupaj]],_xlfn.XLOOKUP(Rezultati[[#This Row],[Program]],Kriterij[[#Headers],[APF]:[PED]],Kriterij[[APF]:[PED]]), Kriterij[Ocena], "", -1, 2)</f>
        <v/>
      </c>
    </row>
    <row r="51" spans="2:16" x14ac:dyDescent="0.2">
      <c r="B51">
        <v>27000049</v>
      </c>
      <c r="C51" t="s">
        <v>10</v>
      </c>
      <c r="D51">
        <f>_xlfn.IFNA(_xlfn.XLOOKUP(Rezultati[[#This Row],[Vpisna]], DomaceNaloge[Vpisna],DomaceNaloge[Skupaj]), 0)</f>
        <v>0</v>
      </c>
      <c r="E51" t="str">
        <f>_xlfn.IFNA(_xlfn.XLOOKUP(Rezultati[[#This Row],[Vpisna]], Izpit1[Vpisna],Izpit1[Skupaj]), "")</f>
        <v/>
      </c>
      <c r="F51" t="str">
        <f>_xlfn.IFNA(_xlfn.XLOOKUP(Rezultati[[#This Row],[Vpisna]], Izpit1[Vpisna],Izpit1[Računalnik]), "")</f>
        <v/>
      </c>
      <c r="G51" s="12" t="b">
        <v>0</v>
      </c>
      <c r="H51" t="str">
        <f>_xlfn.IFNA(_xlfn.XLOOKUP(Rezultati[[#This Row],[Vpisna]], Izpit2[Vpisna],Izpit2[Skupaj]), "")</f>
        <v/>
      </c>
      <c r="I51" t="str">
        <f>_xlfn.IFNA(_xlfn.XLOOKUP(Rezultati[[#This Row],[Vpisna]], Izpit2[Vpisna],Izpit2[Računalnik]), "")</f>
        <v/>
      </c>
      <c r="J51" s="12" t="b">
        <v>0</v>
      </c>
      <c r="K51" t="str">
        <f>_xlfn.IFNA(_xlfn.XLOOKUP(Rezultati[[#This Row],[Vpisna]], Izpit3[Vpisna],Izpit3[Skupaj]), "")</f>
        <v/>
      </c>
      <c r="L51" s="12" t="b">
        <v>0</v>
      </c>
      <c r="M51">
        <f>MAX(Rezultati[[#This Row],[1.izpit]],Rezultati[[#This Row],[2.izpit]],Rezultati[[#This Row],[3.izpit]])</f>
        <v>0</v>
      </c>
      <c r="N51"/>
      <c r="O51">
        <f>Rezultati[[#This Row],[DN]]+Rezultati[[#This Row],[Max]]+Rezultati[[#This Row],[Bonus]]</f>
        <v>0</v>
      </c>
      <c r="P51" t="str" cm="1">
        <f t="array" ref="P51">_xlfn.XLOOKUP(Rezultati[[#This Row],[Skupaj]],_xlfn.XLOOKUP(Rezultati[[#This Row],[Program]],Kriterij[[#Headers],[APF]:[PED]],Kriterij[[APF]:[PED]]), Kriterij[Ocena], "", -1, 2)</f>
        <v/>
      </c>
    </row>
    <row r="52" spans="2:16" x14ac:dyDescent="0.2">
      <c r="B52">
        <v>27000050</v>
      </c>
      <c r="C52" t="s">
        <v>10</v>
      </c>
      <c r="D52">
        <f>_xlfn.IFNA(_xlfn.XLOOKUP(Rezultati[[#This Row],[Vpisna]], DomaceNaloge[Vpisna],DomaceNaloge[Skupaj]), 0)</f>
        <v>0</v>
      </c>
      <c r="E52" t="str">
        <f>_xlfn.IFNA(_xlfn.XLOOKUP(Rezultati[[#This Row],[Vpisna]], Izpit1[Vpisna],Izpit1[Skupaj]), "")</f>
        <v/>
      </c>
      <c r="F52" t="str">
        <f>_xlfn.IFNA(_xlfn.XLOOKUP(Rezultati[[#This Row],[Vpisna]], Izpit1[Vpisna],Izpit1[Računalnik]), "")</f>
        <v/>
      </c>
      <c r="G52" s="12" t="b">
        <v>0</v>
      </c>
      <c r="H52" t="str">
        <f>_xlfn.IFNA(_xlfn.XLOOKUP(Rezultati[[#This Row],[Vpisna]], Izpit2[Vpisna],Izpit2[Skupaj]), "")</f>
        <v/>
      </c>
      <c r="I52" t="str">
        <f>_xlfn.IFNA(_xlfn.XLOOKUP(Rezultati[[#This Row],[Vpisna]], Izpit2[Vpisna],Izpit2[Računalnik]), "")</f>
        <v/>
      </c>
      <c r="J52" s="12" t="b">
        <v>0</v>
      </c>
      <c r="K52" t="str">
        <f>_xlfn.IFNA(_xlfn.XLOOKUP(Rezultati[[#This Row],[Vpisna]], Izpit3[Vpisna],Izpit3[Skupaj]), "")</f>
        <v/>
      </c>
      <c r="L52" s="12" t="b">
        <v>0</v>
      </c>
      <c r="M52">
        <f>MAX(Rezultati[[#This Row],[1.izpit]],Rezultati[[#This Row],[2.izpit]],Rezultati[[#This Row],[3.izpit]])</f>
        <v>0</v>
      </c>
      <c r="N52"/>
      <c r="O52">
        <f>Rezultati[[#This Row],[DN]]+Rezultati[[#This Row],[Max]]+Rezultati[[#This Row],[Bonus]]</f>
        <v>0</v>
      </c>
      <c r="P52" t="str" cm="1">
        <f t="array" ref="P52">_xlfn.XLOOKUP(Rezultati[[#This Row],[Skupaj]],_xlfn.XLOOKUP(Rezultati[[#This Row],[Program]],Kriterij[[#Headers],[APF]:[PED]],Kriterij[[APF]:[PED]]), Kriterij[Ocena], "", -1, 2)</f>
        <v/>
      </c>
    </row>
    <row r="53" spans="2:16" x14ac:dyDescent="0.2">
      <c r="B53">
        <v>27000051</v>
      </c>
      <c r="C53" t="s">
        <v>10</v>
      </c>
      <c r="D53">
        <f>_xlfn.IFNA(_xlfn.XLOOKUP(Rezultati[[#This Row],[Vpisna]], DomaceNaloge[Vpisna],DomaceNaloge[Skupaj]), 0)</f>
        <v>8</v>
      </c>
      <c r="E53">
        <f>_xlfn.IFNA(_xlfn.XLOOKUP(Rezultati[[#This Row],[Vpisna]], Izpit1[Vpisna],Izpit1[Skupaj]), "")</f>
        <v>53.5</v>
      </c>
      <c r="F53" t="str">
        <f>_xlfn.IFNA(_xlfn.XLOOKUP(Rezultati[[#This Row],[Vpisna]], Izpit1[Vpisna],Izpit1[Računalnik]), "")</f>
        <v>šolski</v>
      </c>
      <c r="G53" s="12" t="b">
        <v>1</v>
      </c>
      <c r="H53" t="str">
        <f>_xlfn.IFNA(_xlfn.XLOOKUP(Rezultati[[#This Row],[Vpisna]], Izpit2[Vpisna],Izpit2[Skupaj]), "")</f>
        <v/>
      </c>
      <c r="I53" t="str">
        <f>_xlfn.IFNA(_xlfn.XLOOKUP(Rezultati[[#This Row],[Vpisna]], Izpit2[Vpisna],Izpit2[Računalnik]), "")</f>
        <v/>
      </c>
      <c r="J53" s="12" t="b">
        <v>0</v>
      </c>
      <c r="K53" t="str">
        <f>_xlfn.IFNA(_xlfn.XLOOKUP(Rezultati[[#This Row],[Vpisna]], Izpit3[Vpisna],Izpit3[Skupaj]), "")</f>
        <v/>
      </c>
      <c r="L53" s="12" t="b">
        <v>0</v>
      </c>
      <c r="M53">
        <f>MAX(Rezultati[[#This Row],[1.izpit]],Rezultati[[#This Row],[2.izpit]],Rezultati[[#This Row],[3.izpit]])</f>
        <v>53.5</v>
      </c>
      <c r="N53"/>
      <c r="O53">
        <f>Rezultati[[#This Row],[DN]]+Rezultati[[#This Row],[Max]]+Rezultati[[#This Row],[Bonus]]</f>
        <v>61.5</v>
      </c>
      <c r="P53" cm="1">
        <f t="array" ref="P53">_xlfn.XLOOKUP(Rezultati[[#This Row],[Skupaj]],_xlfn.XLOOKUP(Rezultati[[#This Row],[Program]],Kriterij[[#Headers],[APF]:[PED]],Kriterij[[APF]:[PED]]), Kriterij[Ocena], "", -1, 2)</f>
        <v>7</v>
      </c>
    </row>
    <row r="54" spans="2:16" x14ac:dyDescent="0.2">
      <c r="B54">
        <v>27000052</v>
      </c>
      <c r="C54" t="s">
        <v>10</v>
      </c>
      <c r="D54">
        <f>_xlfn.IFNA(_xlfn.XLOOKUP(Rezultati[[#This Row],[Vpisna]], DomaceNaloge[Vpisna],DomaceNaloge[Skupaj]), 0)</f>
        <v>0</v>
      </c>
      <c r="E54" t="str">
        <f>_xlfn.IFNA(_xlfn.XLOOKUP(Rezultati[[#This Row],[Vpisna]], Izpit1[Vpisna],Izpit1[Skupaj]), "")</f>
        <v/>
      </c>
      <c r="F54" t="str">
        <f>_xlfn.IFNA(_xlfn.XLOOKUP(Rezultati[[#This Row],[Vpisna]], Izpit1[Vpisna],Izpit1[Računalnik]), "")</f>
        <v/>
      </c>
      <c r="G54" s="12" t="b">
        <v>0</v>
      </c>
      <c r="H54" t="str">
        <f>_xlfn.IFNA(_xlfn.XLOOKUP(Rezultati[[#This Row],[Vpisna]], Izpit2[Vpisna],Izpit2[Skupaj]), "")</f>
        <v/>
      </c>
      <c r="I54" t="str">
        <f>_xlfn.IFNA(_xlfn.XLOOKUP(Rezultati[[#This Row],[Vpisna]], Izpit2[Vpisna],Izpit2[Računalnik]), "")</f>
        <v/>
      </c>
      <c r="J54" s="12" t="b">
        <v>0</v>
      </c>
      <c r="K54" t="str">
        <f>_xlfn.IFNA(_xlfn.XLOOKUP(Rezultati[[#This Row],[Vpisna]], Izpit3[Vpisna],Izpit3[Skupaj]), "")</f>
        <v/>
      </c>
      <c r="L54" s="12" t="b">
        <v>0</v>
      </c>
      <c r="M54">
        <f>MAX(Rezultati[[#This Row],[1.izpit]],Rezultati[[#This Row],[2.izpit]],Rezultati[[#This Row],[3.izpit]])</f>
        <v>0</v>
      </c>
      <c r="N54"/>
      <c r="O54">
        <f>Rezultati[[#This Row],[DN]]+Rezultati[[#This Row],[Max]]+Rezultati[[#This Row],[Bonus]]</f>
        <v>0</v>
      </c>
      <c r="P54" t="str" cm="1">
        <f t="array" ref="P54">_xlfn.XLOOKUP(Rezultati[[#This Row],[Skupaj]],_xlfn.XLOOKUP(Rezultati[[#This Row],[Program]],Kriterij[[#Headers],[APF]:[PED]],Kriterij[[APF]:[PED]]), Kriterij[Ocena], "", -1, 2)</f>
        <v/>
      </c>
    </row>
    <row r="55" spans="2:16" x14ac:dyDescent="0.2">
      <c r="B55">
        <v>27000053</v>
      </c>
      <c r="C55" t="s">
        <v>10</v>
      </c>
      <c r="D55">
        <f>_xlfn.IFNA(_xlfn.XLOOKUP(Rezultati[[#This Row],[Vpisna]], DomaceNaloge[Vpisna],DomaceNaloge[Skupaj]), 0)</f>
        <v>0</v>
      </c>
      <c r="E55" t="str">
        <f>_xlfn.IFNA(_xlfn.XLOOKUP(Rezultati[[#This Row],[Vpisna]], Izpit1[Vpisna],Izpit1[Skupaj]), "")</f>
        <v/>
      </c>
      <c r="F55" t="str">
        <f>_xlfn.IFNA(_xlfn.XLOOKUP(Rezultati[[#This Row],[Vpisna]], Izpit1[Vpisna],Izpit1[Računalnik]), "")</f>
        <v/>
      </c>
      <c r="G55" s="12" t="b">
        <v>0</v>
      </c>
      <c r="H55" t="str">
        <f>_xlfn.IFNA(_xlfn.XLOOKUP(Rezultati[[#This Row],[Vpisna]], Izpit2[Vpisna],Izpit2[Skupaj]), "")</f>
        <v/>
      </c>
      <c r="I55" t="str">
        <f>_xlfn.IFNA(_xlfn.XLOOKUP(Rezultati[[#This Row],[Vpisna]], Izpit2[Vpisna],Izpit2[Računalnik]), "")</f>
        <v/>
      </c>
      <c r="J55" s="12" t="b">
        <v>0</v>
      </c>
      <c r="K55" t="str">
        <f>_xlfn.IFNA(_xlfn.XLOOKUP(Rezultati[[#This Row],[Vpisna]], Izpit3[Vpisna],Izpit3[Skupaj]), "")</f>
        <v/>
      </c>
      <c r="L55" s="12" t="b">
        <v>0</v>
      </c>
      <c r="M55">
        <f>MAX(Rezultati[[#This Row],[1.izpit]],Rezultati[[#This Row],[2.izpit]],Rezultati[[#This Row],[3.izpit]])</f>
        <v>0</v>
      </c>
      <c r="N55"/>
      <c r="O55">
        <f>Rezultati[[#This Row],[DN]]+Rezultati[[#This Row],[Max]]+Rezultati[[#This Row],[Bonus]]</f>
        <v>0</v>
      </c>
      <c r="P55" t="str" cm="1">
        <f t="array" ref="P55">_xlfn.XLOOKUP(Rezultati[[#This Row],[Skupaj]],_xlfn.XLOOKUP(Rezultati[[#This Row],[Program]],Kriterij[[#Headers],[APF]:[PED]],Kriterij[[APF]:[PED]]), Kriterij[Ocena], "", -1, 2)</f>
        <v/>
      </c>
    </row>
    <row r="56" spans="2:16" x14ac:dyDescent="0.2">
      <c r="B56">
        <v>27000054</v>
      </c>
      <c r="C56" t="s">
        <v>10</v>
      </c>
      <c r="D56">
        <f>_xlfn.IFNA(_xlfn.XLOOKUP(Rezultati[[#This Row],[Vpisna]], DomaceNaloge[Vpisna],DomaceNaloge[Skupaj]), 0)</f>
        <v>0</v>
      </c>
      <c r="E56" t="str">
        <f>_xlfn.IFNA(_xlfn.XLOOKUP(Rezultati[[#This Row],[Vpisna]], Izpit1[Vpisna],Izpit1[Skupaj]), "")</f>
        <v/>
      </c>
      <c r="F56" t="str">
        <f>_xlfn.IFNA(_xlfn.XLOOKUP(Rezultati[[#This Row],[Vpisna]], Izpit1[Vpisna],Izpit1[Računalnik]), "")</f>
        <v/>
      </c>
      <c r="G56" s="12" t="b">
        <v>0</v>
      </c>
      <c r="H56" t="str">
        <f>_xlfn.IFNA(_xlfn.XLOOKUP(Rezultati[[#This Row],[Vpisna]], Izpit2[Vpisna],Izpit2[Skupaj]), "")</f>
        <v/>
      </c>
      <c r="I56" t="str">
        <f>_xlfn.IFNA(_xlfn.XLOOKUP(Rezultati[[#This Row],[Vpisna]], Izpit2[Vpisna],Izpit2[Računalnik]), "")</f>
        <v/>
      </c>
      <c r="J56" s="12" t="b">
        <v>0</v>
      </c>
      <c r="K56" t="str">
        <f>_xlfn.IFNA(_xlfn.XLOOKUP(Rezultati[[#This Row],[Vpisna]], Izpit3[Vpisna],Izpit3[Skupaj]), "")</f>
        <v/>
      </c>
      <c r="L56" s="12" t="b">
        <v>0</v>
      </c>
      <c r="M56">
        <f>MAX(Rezultati[[#This Row],[1.izpit]],Rezultati[[#This Row],[2.izpit]],Rezultati[[#This Row],[3.izpit]])</f>
        <v>0</v>
      </c>
      <c r="N56"/>
      <c r="O56">
        <f>Rezultati[[#This Row],[DN]]+Rezultati[[#This Row],[Max]]+Rezultati[[#This Row],[Bonus]]</f>
        <v>0</v>
      </c>
      <c r="P56" t="str" cm="1">
        <f t="array" ref="P56">_xlfn.XLOOKUP(Rezultati[[#This Row],[Skupaj]],_xlfn.XLOOKUP(Rezultati[[#This Row],[Program]],Kriterij[[#Headers],[APF]:[PED]],Kriterij[[APF]:[PED]]), Kriterij[Ocena], "", -1, 2)</f>
        <v/>
      </c>
    </row>
    <row r="57" spans="2:16" x14ac:dyDescent="0.2">
      <c r="B57">
        <v>27000055</v>
      </c>
      <c r="C57" t="s">
        <v>10</v>
      </c>
      <c r="D57">
        <f>_xlfn.IFNA(_xlfn.XLOOKUP(Rezultati[[#This Row],[Vpisna]], DomaceNaloge[Vpisna],DomaceNaloge[Skupaj]), 0)</f>
        <v>0</v>
      </c>
      <c r="E57" t="str">
        <f>_xlfn.IFNA(_xlfn.XLOOKUP(Rezultati[[#This Row],[Vpisna]], Izpit1[Vpisna],Izpit1[Skupaj]), "")</f>
        <v/>
      </c>
      <c r="F57" t="str">
        <f>_xlfn.IFNA(_xlfn.XLOOKUP(Rezultati[[#This Row],[Vpisna]], Izpit1[Vpisna],Izpit1[Računalnik]), "")</f>
        <v/>
      </c>
      <c r="G57" s="12" t="b">
        <v>0</v>
      </c>
      <c r="H57" t="str">
        <f>_xlfn.IFNA(_xlfn.XLOOKUP(Rezultati[[#This Row],[Vpisna]], Izpit2[Vpisna],Izpit2[Skupaj]), "")</f>
        <v/>
      </c>
      <c r="I57" t="str">
        <f>_xlfn.IFNA(_xlfn.XLOOKUP(Rezultati[[#This Row],[Vpisna]], Izpit2[Vpisna],Izpit2[Računalnik]), "")</f>
        <v/>
      </c>
      <c r="J57" s="12" t="b">
        <v>0</v>
      </c>
      <c r="K57" t="str">
        <f>_xlfn.IFNA(_xlfn.XLOOKUP(Rezultati[[#This Row],[Vpisna]], Izpit3[Vpisna],Izpit3[Skupaj]), "")</f>
        <v/>
      </c>
      <c r="L57" s="12" t="b">
        <v>0</v>
      </c>
      <c r="M57">
        <f>MAX(Rezultati[[#This Row],[1.izpit]],Rezultati[[#This Row],[2.izpit]],Rezultati[[#This Row],[3.izpit]])</f>
        <v>0</v>
      </c>
      <c r="N57"/>
      <c r="O57">
        <f>Rezultati[[#This Row],[DN]]+Rezultati[[#This Row],[Max]]+Rezultati[[#This Row],[Bonus]]</f>
        <v>0</v>
      </c>
      <c r="P57" t="str" cm="1">
        <f t="array" ref="P57">_xlfn.XLOOKUP(Rezultati[[#This Row],[Skupaj]],_xlfn.XLOOKUP(Rezultati[[#This Row],[Program]],Kriterij[[#Headers],[APF]:[PED]],Kriterij[[APF]:[PED]]), Kriterij[Ocena], "", -1, 2)</f>
        <v/>
      </c>
    </row>
    <row r="58" spans="2:16" x14ac:dyDescent="0.2">
      <c r="B58">
        <v>27000056</v>
      </c>
      <c r="C58" t="s">
        <v>10</v>
      </c>
      <c r="D58">
        <f>_xlfn.IFNA(_xlfn.XLOOKUP(Rezultati[[#This Row],[Vpisna]], DomaceNaloge[Vpisna],DomaceNaloge[Skupaj]), 0)</f>
        <v>0</v>
      </c>
      <c r="E58" t="str">
        <f>_xlfn.IFNA(_xlfn.XLOOKUP(Rezultati[[#This Row],[Vpisna]], Izpit1[Vpisna],Izpit1[Skupaj]), "")</f>
        <v/>
      </c>
      <c r="F58" t="str">
        <f>_xlfn.IFNA(_xlfn.XLOOKUP(Rezultati[[#This Row],[Vpisna]], Izpit1[Vpisna],Izpit1[Računalnik]), "")</f>
        <v/>
      </c>
      <c r="G58" s="12" t="b">
        <v>0</v>
      </c>
      <c r="H58" t="str">
        <f>_xlfn.IFNA(_xlfn.XLOOKUP(Rezultati[[#This Row],[Vpisna]], Izpit2[Vpisna],Izpit2[Skupaj]), "")</f>
        <v/>
      </c>
      <c r="I58" t="str">
        <f>_xlfn.IFNA(_xlfn.XLOOKUP(Rezultati[[#This Row],[Vpisna]], Izpit2[Vpisna],Izpit2[Računalnik]), "")</f>
        <v/>
      </c>
      <c r="J58" s="12" t="b">
        <v>0</v>
      </c>
      <c r="K58" t="str">
        <f>_xlfn.IFNA(_xlfn.XLOOKUP(Rezultati[[#This Row],[Vpisna]], Izpit3[Vpisna],Izpit3[Skupaj]), "")</f>
        <v/>
      </c>
      <c r="L58" s="12" t="b">
        <v>0</v>
      </c>
      <c r="M58">
        <f>MAX(Rezultati[[#This Row],[1.izpit]],Rezultati[[#This Row],[2.izpit]],Rezultati[[#This Row],[3.izpit]])</f>
        <v>0</v>
      </c>
      <c r="N58"/>
      <c r="O58">
        <f>Rezultati[[#This Row],[DN]]+Rezultati[[#This Row],[Max]]+Rezultati[[#This Row],[Bonus]]</f>
        <v>0</v>
      </c>
      <c r="P58" t="str" cm="1">
        <f t="array" ref="P58">_xlfn.XLOOKUP(Rezultati[[#This Row],[Skupaj]],_xlfn.XLOOKUP(Rezultati[[#This Row],[Program]],Kriterij[[#Headers],[APF]:[PED]],Kriterij[[APF]:[PED]]), Kriterij[Ocena], "", -1, 2)</f>
        <v/>
      </c>
    </row>
    <row r="59" spans="2:16" x14ac:dyDescent="0.2">
      <c r="B59">
        <v>27000057</v>
      </c>
      <c r="C59" t="s">
        <v>10</v>
      </c>
      <c r="D59">
        <f>_xlfn.IFNA(_xlfn.XLOOKUP(Rezultati[[#This Row],[Vpisna]], DomaceNaloge[Vpisna],DomaceNaloge[Skupaj]), 0)</f>
        <v>0</v>
      </c>
      <c r="E59" t="str">
        <f>_xlfn.IFNA(_xlfn.XLOOKUP(Rezultati[[#This Row],[Vpisna]], Izpit1[Vpisna],Izpit1[Skupaj]), "")</f>
        <v/>
      </c>
      <c r="F59" t="str">
        <f>_xlfn.IFNA(_xlfn.XLOOKUP(Rezultati[[#This Row],[Vpisna]], Izpit1[Vpisna],Izpit1[Računalnik]), "")</f>
        <v/>
      </c>
      <c r="G59" s="12" t="b">
        <v>0</v>
      </c>
      <c r="H59" t="str">
        <f>_xlfn.IFNA(_xlfn.XLOOKUP(Rezultati[[#This Row],[Vpisna]], Izpit2[Vpisna],Izpit2[Skupaj]), "")</f>
        <v/>
      </c>
      <c r="I59" t="str">
        <f>_xlfn.IFNA(_xlfn.XLOOKUP(Rezultati[[#This Row],[Vpisna]], Izpit2[Vpisna],Izpit2[Računalnik]), "")</f>
        <v/>
      </c>
      <c r="J59" s="12" t="b">
        <v>0</v>
      </c>
      <c r="K59" t="str">
        <f>_xlfn.IFNA(_xlfn.XLOOKUP(Rezultati[[#This Row],[Vpisna]], Izpit3[Vpisna],Izpit3[Skupaj]), "")</f>
        <v/>
      </c>
      <c r="L59" s="12" t="b">
        <v>0</v>
      </c>
      <c r="M59">
        <f>MAX(Rezultati[[#This Row],[1.izpit]],Rezultati[[#This Row],[2.izpit]],Rezultati[[#This Row],[3.izpit]])</f>
        <v>0</v>
      </c>
      <c r="N59"/>
      <c r="O59">
        <f>Rezultati[[#This Row],[DN]]+Rezultati[[#This Row],[Max]]+Rezultati[[#This Row],[Bonus]]</f>
        <v>0</v>
      </c>
      <c r="P59" t="str" cm="1">
        <f t="array" ref="P59">_xlfn.XLOOKUP(Rezultati[[#This Row],[Skupaj]],_xlfn.XLOOKUP(Rezultati[[#This Row],[Program]],Kriterij[[#Headers],[APF]:[PED]],Kriterij[[APF]:[PED]]), Kriterij[Ocena], "", -1, 2)</f>
        <v/>
      </c>
    </row>
    <row r="60" spans="2:16" x14ac:dyDescent="0.2">
      <c r="B60">
        <v>27000058</v>
      </c>
      <c r="C60" t="s">
        <v>10</v>
      </c>
      <c r="D60">
        <f>_xlfn.IFNA(_xlfn.XLOOKUP(Rezultati[[#This Row],[Vpisna]], DomaceNaloge[Vpisna],DomaceNaloge[Skupaj]), 0)</f>
        <v>0</v>
      </c>
      <c r="E60" t="str">
        <f>_xlfn.IFNA(_xlfn.XLOOKUP(Rezultati[[#This Row],[Vpisna]], Izpit1[Vpisna],Izpit1[Skupaj]), "")</f>
        <v/>
      </c>
      <c r="F60" t="str">
        <f>_xlfn.IFNA(_xlfn.XLOOKUP(Rezultati[[#This Row],[Vpisna]], Izpit1[Vpisna],Izpit1[Računalnik]), "")</f>
        <v/>
      </c>
      <c r="G60" s="12" t="b">
        <v>0</v>
      </c>
      <c r="H60" t="str">
        <f>_xlfn.IFNA(_xlfn.XLOOKUP(Rezultati[[#This Row],[Vpisna]], Izpit2[Vpisna],Izpit2[Skupaj]), "")</f>
        <v/>
      </c>
      <c r="I60" t="str">
        <f>_xlfn.IFNA(_xlfn.XLOOKUP(Rezultati[[#This Row],[Vpisna]], Izpit2[Vpisna],Izpit2[Računalnik]), "")</f>
        <v/>
      </c>
      <c r="J60" s="12" t="b">
        <v>0</v>
      </c>
      <c r="K60" t="str">
        <f>_xlfn.IFNA(_xlfn.XLOOKUP(Rezultati[[#This Row],[Vpisna]], Izpit3[Vpisna],Izpit3[Skupaj]), "")</f>
        <v/>
      </c>
      <c r="L60" s="12" t="b">
        <v>0</v>
      </c>
      <c r="M60">
        <f>MAX(Rezultati[[#This Row],[1.izpit]],Rezultati[[#This Row],[2.izpit]],Rezultati[[#This Row],[3.izpit]])</f>
        <v>0</v>
      </c>
      <c r="N60"/>
      <c r="O60">
        <f>Rezultati[[#This Row],[DN]]+Rezultati[[#This Row],[Max]]+Rezultati[[#This Row],[Bonus]]</f>
        <v>0</v>
      </c>
      <c r="P60" t="str" cm="1">
        <f t="array" ref="P60">_xlfn.XLOOKUP(Rezultati[[#This Row],[Skupaj]],_xlfn.XLOOKUP(Rezultati[[#This Row],[Program]],Kriterij[[#Headers],[APF]:[PED]],Kriterij[[APF]:[PED]]), Kriterij[Ocena], "", -1, 2)</f>
        <v/>
      </c>
    </row>
    <row r="61" spans="2:16" x14ac:dyDescent="0.2">
      <c r="B61">
        <v>27000059</v>
      </c>
      <c r="C61" t="s">
        <v>10</v>
      </c>
      <c r="D61">
        <f>_xlfn.IFNA(_xlfn.XLOOKUP(Rezultati[[#This Row],[Vpisna]], DomaceNaloge[Vpisna],DomaceNaloge[Skupaj]), 0)</f>
        <v>0</v>
      </c>
      <c r="E61" t="str">
        <f>_xlfn.IFNA(_xlfn.XLOOKUP(Rezultati[[#This Row],[Vpisna]], Izpit1[Vpisna],Izpit1[Skupaj]), "")</f>
        <v/>
      </c>
      <c r="F61" t="str">
        <f>_xlfn.IFNA(_xlfn.XLOOKUP(Rezultati[[#This Row],[Vpisna]], Izpit1[Vpisna],Izpit1[Računalnik]), "")</f>
        <v/>
      </c>
      <c r="G61" s="12" t="b">
        <v>0</v>
      </c>
      <c r="H61" t="str">
        <f>_xlfn.IFNA(_xlfn.XLOOKUP(Rezultati[[#This Row],[Vpisna]], Izpit2[Vpisna],Izpit2[Skupaj]), "")</f>
        <v/>
      </c>
      <c r="I61" t="str">
        <f>_xlfn.IFNA(_xlfn.XLOOKUP(Rezultati[[#This Row],[Vpisna]], Izpit2[Vpisna],Izpit2[Računalnik]), "")</f>
        <v/>
      </c>
      <c r="J61" s="12" t="b">
        <v>0</v>
      </c>
      <c r="K61" t="str">
        <f>_xlfn.IFNA(_xlfn.XLOOKUP(Rezultati[[#This Row],[Vpisna]], Izpit3[Vpisna],Izpit3[Skupaj]), "")</f>
        <v/>
      </c>
      <c r="L61" s="12" t="b">
        <v>0</v>
      </c>
      <c r="M61">
        <f>MAX(Rezultati[[#This Row],[1.izpit]],Rezultati[[#This Row],[2.izpit]],Rezultati[[#This Row],[3.izpit]])</f>
        <v>0</v>
      </c>
      <c r="N61"/>
      <c r="O61">
        <f>Rezultati[[#This Row],[DN]]+Rezultati[[#This Row],[Max]]+Rezultati[[#This Row],[Bonus]]</f>
        <v>0</v>
      </c>
      <c r="P61" t="str" cm="1">
        <f t="array" ref="P61">_xlfn.XLOOKUP(Rezultati[[#This Row],[Skupaj]],_xlfn.XLOOKUP(Rezultati[[#This Row],[Program]],Kriterij[[#Headers],[APF]:[PED]],Kriterij[[APF]:[PED]]), Kriterij[Ocena], "", -1, 2)</f>
        <v/>
      </c>
    </row>
    <row r="62" spans="2:16" x14ac:dyDescent="0.2">
      <c r="B62">
        <v>27000060</v>
      </c>
      <c r="C62" t="s">
        <v>10</v>
      </c>
      <c r="D62">
        <f>_xlfn.IFNA(_xlfn.XLOOKUP(Rezultati[[#This Row],[Vpisna]], DomaceNaloge[Vpisna],DomaceNaloge[Skupaj]), 0)</f>
        <v>0</v>
      </c>
      <c r="E62" t="str">
        <f>_xlfn.IFNA(_xlfn.XLOOKUP(Rezultati[[#This Row],[Vpisna]], Izpit1[Vpisna],Izpit1[Skupaj]), "")</f>
        <v/>
      </c>
      <c r="F62" t="str">
        <f>_xlfn.IFNA(_xlfn.XLOOKUP(Rezultati[[#This Row],[Vpisna]], Izpit1[Vpisna],Izpit1[Računalnik]), "")</f>
        <v/>
      </c>
      <c r="G62" s="12" t="b">
        <v>0</v>
      </c>
      <c r="H62" t="str">
        <f>_xlfn.IFNA(_xlfn.XLOOKUP(Rezultati[[#This Row],[Vpisna]], Izpit2[Vpisna],Izpit2[Skupaj]), "")</f>
        <v/>
      </c>
      <c r="I62" t="str">
        <f>_xlfn.IFNA(_xlfn.XLOOKUP(Rezultati[[#This Row],[Vpisna]], Izpit2[Vpisna],Izpit2[Računalnik]), "")</f>
        <v/>
      </c>
      <c r="J62" s="12" t="b">
        <v>0</v>
      </c>
      <c r="K62" t="str">
        <f>_xlfn.IFNA(_xlfn.XLOOKUP(Rezultati[[#This Row],[Vpisna]], Izpit3[Vpisna],Izpit3[Skupaj]), "")</f>
        <v/>
      </c>
      <c r="L62" s="12" t="b">
        <v>0</v>
      </c>
      <c r="M62">
        <f>MAX(Rezultati[[#This Row],[1.izpit]],Rezultati[[#This Row],[2.izpit]],Rezultati[[#This Row],[3.izpit]])</f>
        <v>0</v>
      </c>
      <c r="N62"/>
      <c r="O62">
        <f>Rezultati[[#This Row],[DN]]+Rezultati[[#This Row],[Max]]+Rezultati[[#This Row],[Bonus]]</f>
        <v>0</v>
      </c>
      <c r="P62" t="str" cm="1">
        <f t="array" ref="P62">_xlfn.XLOOKUP(Rezultati[[#This Row],[Skupaj]],_xlfn.XLOOKUP(Rezultati[[#This Row],[Program]],Kriterij[[#Headers],[APF]:[PED]],Kriterij[[APF]:[PED]]), Kriterij[Ocena], "", -1, 2)</f>
        <v/>
      </c>
    </row>
    <row r="63" spans="2:16" x14ac:dyDescent="0.2">
      <c r="B63">
        <v>27000061</v>
      </c>
      <c r="C63" t="s">
        <v>10</v>
      </c>
      <c r="D63">
        <f>_xlfn.IFNA(_xlfn.XLOOKUP(Rezultati[[#This Row],[Vpisna]], DomaceNaloge[Vpisna],DomaceNaloge[Skupaj]), 0)</f>
        <v>0</v>
      </c>
      <c r="E63" t="str">
        <f>_xlfn.IFNA(_xlfn.XLOOKUP(Rezultati[[#This Row],[Vpisna]], Izpit1[Vpisna],Izpit1[Skupaj]), "")</f>
        <v/>
      </c>
      <c r="F63" t="str">
        <f>_xlfn.IFNA(_xlfn.XLOOKUP(Rezultati[[#This Row],[Vpisna]], Izpit1[Vpisna],Izpit1[Računalnik]), "")</f>
        <v/>
      </c>
      <c r="G63" s="12" t="b">
        <v>0</v>
      </c>
      <c r="H63" t="str">
        <f>_xlfn.IFNA(_xlfn.XLOOKUP(Rezultati[[#This Row],[Vpisna]], Izpit2[Vpisna],Izpit2[Skupaj]), "")</f>
        <v/>
      </c>
      <c r="I63" t="str">
        <f>_xlfn.IFNA(_xlfn.XLOOKUP(Rezultati[[#This Row],[Vpisna]], Izpit2[Vpisna],Izpit2[Računalnik]), "")</f>
        <v/>
      </c>
      <c r="J63" s="12" t="b">
        <v>0</v>
      </c>
      <c r="K63" t="str">
        <f>_xlfn.IFNA(_xlfn.XLOOKUP(Rezultati[[#This Row],[Vpisna]], Izpit3[Vpisna],Izpit3[Skupaj]), "")</f>
        <v/>
      </c>
      <c r="L63" s="12" t="b">
        <v>0</v>
      </c>
      <c r="M63">
        <f>MAX(Rezultati[[#This Row],[1.izpit]],Rezultati[[#This Row],[2.izpit]],Rezultati[[#This Row],[3.izpit]])</f>
        <v>0</v>
      </c>
      <c r="N63"/>
      <c r="O63">
        <f>Rezultati[[#This Row],[DN]]+Rezultati[[#This Row],[Max]]+Rezultati[[#This Row],[Bonus]]</f>
        <v>0</v>
      </c>
      <c r="P63" t="str" cm="1">
        <f t="array" ref="P63">_xlfn.XLOOKUP(Rezultati[[#This Row],[Skupaj]],_xlfn.XLOOKUP(Rezultati[[#This Row],[Program]],Kriterij[[#Headers],[APF]:[PED]],Kriterij[[APF]:[PED]]), Kriterij[Ocena], "", -1, 2)</f>
        <v/>
      </c>
    </row>
    <row r="64" spans="2:16" x14ac:dyDescent="0.2">
      <c r="B64">
        <v>27000062</v>
      </c>
      <c r="C64" t="s">
        <v>10</v>
      </c>
      <c r="D64">
        <f>_xlfn.IFNA(_xlfn.XLOOKUP(Rezultati[[#This Row],[Vpisna]], DomaceNaloge[Vpisna],DomaceNaloge[Skupaj]), 0)</f>
        <v>3</v>
      </c>
      <c r="E64" t="str">
        <f>_xlfn.IFNA(_xlfn.XLOOKUP(Rezultati[[#This Row],[Vpisna]], Izpit1[Vpisna],Izpit1[Skupaj]), "")</f>
        <v/>
      </c>
      <c r="F64" t="str">
        <f>_xlfn.IFNA(_xlfn.XLOOKUP(Rezultati[[#This Row],[Vpisna]], Izpit1[Vpisna],Izpit1[Računalnik]), "")</f>
        <v/>
      </c>
      <c r="G64" s="12" t="b">
        <v>0</v>
      </c>
      <c r="H64" t="str">
        <f>_xlfn.IFNA(_xlfn.XLOOKUP(Rezultati[[#This Row],[Vpisna]], Izpit2[Vpisna],Izpit2[Skupaj]), "")</f>
        <v/>
      </c>
      <c r="I64" t="str">
        <f>_xlfn.IFNA(_xlfn.XLOOKUP(Rezultati[[#This Row],[Vpisna]], Izpit2[Vpisna],Izpit2[Računalnik]), "")</f>
        <v/>
      </c>
      <c r="J64" s="12" t="b">
        <v>0</v>
      </c>
      <c r="K64" t="str">
        <f>_xlfn.IFNA(_xlfn.XLOOKUP(Rezultati[[#This Row],[Vpisna]], Izpit3[Vpisna],Izpit3[Skupaj]), "")</f>
        <v/>
      </c>
      <c r="L64" s="12" t="b">
        <v>0</v>
      </c>
      <c r="M64">
        <f>MAX(Rezultati[[#This Row],[1.izpit]],Rezultati[[#This Row],[2.izpit]],Rezultati[[#This Row],[3.izpit]])</f>
        <v>0</v>
      </c>
      <c r="N64"/>
      <c r="O64">
        <f>Rezultati[[#This Row],[DN]]+Rezultati[[#This Row],[Max]]+Rezultati[[#This Row],[Bonus]]</f>
        <v>3</v>
      </c>
      <c r="P64" cm="1">
        <f t="array" ref="P64">_xlfn.XLOOKUP(Rezultati[[#This Row],[Skupaj]],_xlfn.XLOOKUP(Rezultati[[#This Row],[Program]],Kriterij[[#Headers],[APF]:[PED]],Kriterij[[APF]:[PED]]), Kriterij[Ocena], "", -1, 2)</f>
        <v>5</v>
      </c>
    </row>
    <row r="65" spans="2:16" x14ac:dyDescent="0.2">
      <c r="B65">
        <v>27000063</v>
      </c>
      <c r="C65" t="s">
        <v>10</v>
      </c>
      <c r="D65">
        <f>_xlfn.IFNA(_xlfn.XLOOKUP(Rezultati[[#This Row],[Vpisna]], DomaceNaloge[Vpisna],DomaceNaloge[Skupaj]), 0)</f>
        <v>10</v>
      </c>
      <c r="E65">
        <f>_xlfn.IFNA(_xlfn.XLOOKUP(Rezultati[[#This Row],[Vpisna]], Izpit1[Vpisna],Izpit1[Skupaj]), "")</f>
        <v>99</v>
      </c>
      <c r="F65" t="str">
        <f>_xlfn.IFNA(_xlfn.XLOOKUP(Rezultati[[#This Row],[Vpisna]], Izpit1[Vpisna],Izpit1[Računalnik]), "")</f>
        <v>svoj</v>
      </c>
      <c r="G65" s="12" t="b">
        <v>1</v>
      </c>
      <c r="H65" t="str">
        <f>_xlfn.IFNA(_xlfn.XLOOKUP(Rezultati[[#This Row],[Vpisna]], Izpit2[Vpisna],Izpit2[Skupaj]), "")</f>
        <v/>
      </c>
      <c r="I65" t="str">
        <f>_xlfn.IFNA(_xlfn.XLOOKUP(Rezultati[[#This Row],[Vpisna]], Izpit2[Vpisna],Izpit2[Računalnik]), "")</f>
        <v/>
      </c>
      <c r="J65" s="12" t="b">
        <v>0</v>
      </c>
      <c r="K65" t="str">
        <f>_xlfn.IFNA(_xlfn.XLOOKUP(Rezultati[[#This Row],[Vpisna]], Izpit3[Vpisna],Izpit3[Skupaj]), "")</f>
        <v/>
      </c>
      <c r="L65" s="12" t="b">
        <v>0</v>
      </c>
      <c r="M65">
        <f>MAX(Rezultati[[#This Row],[1.izpit]],Rezultati[[#This Row],[2.izpit]],Rezultati[[#This Row],[3.izpit]])</f>
        <v>99</v>
      </c>
      <c r="N65"/>
      <c r="O65">
        <f>Rezultati[[#This Row],[DN]]+Rezultati[[#This Row],[Max]]+Rezultati[[#This Row],[Bonus]]</f>
        <v>109</v>
      </c>
      <c r="P65" cm="1">
        <f t="array" ref="P65">_xlfn.XLOOKUP(Rezultati[[#This Row],[Skupaj]],_xlfn.XLOOKUP(Rezultati[[#This Row],[Program]],Kriterij[[#Headers],[APF]:[PED]],Kriterij[[APF]:[PED]]), Kriterij[Ocena], "", -1, 2)</f>
        <v>10</v>
      </c>
    </row>
    <row r="66" spans="2:16" x14ac:dyDescent="0.2">
      <c r="B66">
        <v>27000064</v>
      </c>
      <c r="C66" t="s">
        <v>10</v>
      </c>
      <c r="D66">
        <f>_xlfn.IFNA(_xlfn.XLOOKUP(Rezultati[[#This Row],[Vpisna]], DomaceNaloge[Vpisna],DomaceNaloge[Skupaj]), 0)</f>
        <v>8</v>
      </c>
      <c r="E66" t="str">
        <f>_xlfn.IFNA(_xlfn.XLOOKUP(Rezultati[[#This Row],[Vpisna]], Izpit1[Vpisna],Izpit1[Skupaj]), "")</f>
        <v/>
      </c>
      <c r="F66" t="str">
        <f>_xlfn.IFNA(_xlfn.XLOOKUP(Rezultati[[#This Row],[Vpisna]], Izpit1[Vpisna],Izpit1[Računalnik]), "")</f>
        <v/>
      </c>
      <c r="G66" s="12" t="b">
        <v>0</v>
      </c>
      <c r="H66" t="str">
        <f>_xlfn.IFNA(_xlfn.XLOOKUP(Rezultati[[#This Row],[Vpisna]], Izpit2[Vpisna],Izpit2[Skupaj]), "")</f>
        <v/>
      </c>
      <c r="I66" t="str">
        <f>_xlfn.IFNA(_xlfn.XLOOKUP(Rezultati[[#This Row],[Vpisna]], Izpit2[Vpisna],Izpit2[Računalnik]), "")</f>
        <v/>
      </c>
      <c r="J66" s="12" t="b">
        <v>0</v>
      </c>
      <c r="K66" t="str">
        <f>_xlfn.IFNA(_xlfn.XLOOKUP(Rezultati[[#This Row],[Vpisna]], Izpit3[Vpisna],Izpit3[Skupaj]), "")</f>
        <v/>
      </c>
      <c r="L66" s="12" t="b">
        <v>0</v>
      </c>
      <c r="M66">
        <f>MAX(Rezultati[[#This Row],[1.izpit]],Rezultati[[#This Row],[2.izpit]],Rezultati[[#This Row],[3.izpit]])</f>
        <v>0</v>
      </c>
      <c r="N66"/>
      <c r="O66">
        <f>Rezultati[[#This Row],[DN]]+Rezultati[[#This Row],[Max]]+Rezultati[[#This Row],[Bonus]]</f>
        <v>8</v>
      </c>
      <c r="P66" cm="1">
        <f t="array" ref="P66">_xlfn.XLOOKUP(Rezultati[[#This Row],[Skupaj]],_xlfn.XLOOKUP(Rezultati[[#This Row],[Program]],Kriterij[[#Headers],[APF]:[PED]],Kriterij[[APF]:[PED]]), Kriterij[Ocena], "", -1, 2)</f>
        <v>5</v>
      </c>
    </row>
    <row r="67" spans="2:16" x14ac:dyDescent="0.2">
      <c r="B67">
        <v>27000065</v>
      </c>
      <c r="C67" t="s">
        <v>10</v>
      </c>
      <c r="D67">
        <f>_xlfn.IFNA(_xlfn.XLOOKUP(Rezultati[[#This Row],[Vpisna]], DomaceNaloge[Vpisna],DomaceNaloge[Skupaj]), 0)</f>
        <v>0</v>
      </c>
      <c r="E67" t="str">
        <f>_xlfn.IFNA(_xlfn.XLOOKUP(Rezultati[[#This Row],[Vpisna]], Izpit1[Vpisna],Izpit1[Skupaj]), "")</f>
        <v/>
      </c>
      <c r="F67" t="str">
        <f>_xlfn.IFNA(_xlfn.XLOOKUP(Rezultati[[#This Row],[Vpisna]], Izpit1[Vpisna],Izpit1[Računalnik]), "")</f>
        <v/>
      </c>
      <c r="G67" s="12" t="b">
        <v>0</v>
      </c>
      <c r="H67" t="str">
        <f>_xlfn.IFNA(_xlfn.XLOOKUP(Rezultati[[#This Row],[Vpisna]], Izpit2[Vpisna],Izpit2[Skupaj]), "")</f>
        <v/>
      </c>
      <c r="I67" t="str">
        <f>_xlfn.IFNA(_xlfn.XLOOKUP(Rezultati[[#This Row],[Vpisna]], Izpit2[Vpisna],Izpit2[Računalnik]), "")</f>
        <v/>
      </c>
      <c r="J67" s="12" t="b">
        <v>0</v>
      </c>
      <c r="K67" t="str">
        <f>_xlfn.IFNA(_xlfn.XLOOKUP(Rezultati[[#This Row],[Vpisna]], Izpit3[Vpisna],Izpit3[Skupaj]), "")</f>
        <v/>
      </c>
      <c r="L67" s="12" t="b">
        <v>0</v>
      </c>
      <c r="M67">
        <f>MAX(Rezultati[[#This Row],[1.izpit]],Rezultati[[#This Row],[2.izpit]],Rezultati[[#This Row],[3.izpit]])</f>
        <v>0</v>
      </c>
      <c r="N67"/>
      <c r="O67">
        <f>Rezultati[[#This Row],[DN]]+Rezultati[[#This Row],[Max]]+Rezultati[[#This Row],[Bonus]]</f>
        <v>0</v>
      </c>
      <c r="P67" t="str" cm="1">
        <f t="array" ref="P67">_xlfn.XLOOKUP(Rezultati[[#This Row],[Skupaj]],_xlfn.XLOOKUP(Rezultati[[#This Row],[Program]],Kriterij[[#Headers],[APF]:[PED]],Kriterij[[APF]:[PED]]), Kriterij[Ocena], "", -1, 2)</f>
        <v/>
      </c>
    </row>
    <row r="68" spans="2:16" x14ac:dyDescent="0.2">
      <c r="B68">
        <v>27000066</v>
      </c>
      <c r="C68" t="s">
        <v>10</v>
      </c>
      <c r="D68">
        <f>_xlfn.IFNA(_xlfn.XLOOKUP(Rezultati[[#This Row],[Vpisna]], DomaceNaloge[Vpisna],DomaceNaloge[Skupaj]), 0)</f>
        <v>0</v>
      </c>
      <c r="E68" t="str">
        <f>_xlfn.IFNA(_xlfn.XLOOKUP(Rezultati[[#This Row],[Vpisna]], Izpit1[Vpisna],Izpit1[Skupaj]), "")</f>
        <v/>
      </c>
      <c r="F68" t="str">
        <f>_xlfn.IFNA(_xlfn.XLOOKUP(Rezultati[[#This Row],[Vpisna]], Izpit1[Vpisna],Izpit1[Računalnik]), "")</f>
        <v/>
      </c>
      <c r="G68" s="12" t="b">
        <v>0</v>
      </c>
      <c r="H68" t="str">
        <f>_xlfn.IFNA(_xlfn.XLOOKUP(Rezultati[[#This Row],[Vpisna]], Izpit2[Vpisna],Izpit2[Skupaj]), "")</f>
        <v/>
      </c>
      <c r="I68" t="str">
        <f>_xlfn.IFNA(_xlfn.XLOOKUP(Rezultati[[#This Row],[Vpisna]], Izpit2[Vpisna],Izpit2[Računalnik]), "")</f>
        <v/>
      </c>
      <c r="J68" s="12" t="b">
        <v>0</v>
      </c>
      <c r="K68" t="str">
        <f>_xlfn.IFNA(_xlfn.XLOOKUP(Rezultati[[#This Row],[Vpisna]], Izpit3[Vpisna],Izpit3[Skupaj]), "")</f>
        <v/>
      </c>
      <c r="L68" s="12" t="b">
        <v>0</v>
      </c>
      <c r="M68">
        <f>MAX(Rezultati[[#This Row],[1.izpit]],Rezultati[[#This Row],[2.izpit]],Rezultati[[#This Row],[3.izpit]])</f>
        <v>0</v>
      </c>
      <c r="N68"/>
      <c r="O68">
        <f>Rezultati[[#This Row],[DN]]+Rezultati[[#This Row],[Max]]+Rezultati[[#This Row],[Bonus]]</f>
        <v>0</v>
      </c>
      <c r="P68" t="str" cm="1">
        <f t="array" ref="P68">_xlfn.XLOOKUP(Rezultati[[#This Row],[Skupaj]],_xlfn.XLOOKUP(Rezultati[[#This Row],[Program]],Kriterij[[#Headers],[APF]:[PED]],Kriterij[[APF]:[PED]]), Kriterij[Ocena], "", -1, 2)</f>
        <v/>
      </c>
    </row>
    <row r="69" spans="2:16" x14ac:dyDescent="0.2">
      <c r="B69">
        <v>27000067</v>
      </c>
      <c r="C69" t="s">
        <v>10</v>
      </c>
      <c r="D69">
        <f>_xlfn.IFNA(_xlfn.XLOOKUP(Rezultati[[#This Row],[Vpisna]], DomaceNaloge[Vpisna],DomaceNaloge[Skupaj]), 0)</f>
        <v>0</v>
      </c>
      <c r="E69" t="str">
        <f>_xlfn.IFNA(_xlfn.XLOOKUP(Rezultati[[#This Row],[Vpisna]], Izpit1[Vpisna],Izpit1[Skupaj]), "")</f>
        <v/>
      </c>
      <c r="F69" t="str">
        <f>_xlfn.IFNA(_xlfn.XLOOKUP(Rezultati[[#This Row],[Vpisna]], Izpit1[Vpisna],Izpit1[Računalnik]), "")</f>
        <v/>
      </c>
      <c r="G69" s="12" t="b">
        <v>0</v>
      </c>
      <c r="H69" t="str">
        <f>_xlfn.IFNA(_xlfn.XLOOKUP(Rezultati[[#This Row],[Vpisna]], Izpit2[Vpisna],Izpit2[Skupaj]), "")</f>
        <v/>
      </c>
      <c r="I69" t="str">
        <f>_xlfn.IFNA(_xlfn.XLOOKUP(Rezultati[[#This Row],[Vpisna]], Izpit2[Vpisna],Izpit2[Računalnik]), "")</f>
        <v/>
      </c>
      <c r="J69" s="12" t="b">
        <v>0</v>
      </c>
      <c r="K69" t="str">
        <f>_xlfn.IFNA(_xlfn.XLOOKUP(Rezultati[[#This Row],[Vpisna]], Izpit3[Vpisna],Izpit3[Skupaj]), "")</f>
        <v/>
      </c>
      <c r="L69" s="12" t="b">
        <v>0</v>
      </c>
      <c r="M69">
        <f>MAX(Rezultati[[#This Row],[1.izpit]],Rezultati[[#This Row],[2.izpit]],Rezultati[[#This Row],[3.izpit]])</f>
        <v>0</v>
      </c>
      <c r="N69"/>
      <c r="O69">
        <f>Rezultati[[#This Row],[DN]]+Rezultati[[#This Row],[Max]]+Rezultati[[#This Row],[Bonus]]</f>
        <v>0</v>
      </c>
      <c r="P69" t="str" cm="1">
        <f t="array" ref="P69">_xlfn.XLOOKUP(Rezultati[[#This Row],[Skupaj]],_xlfn.XLOOKUP(Rezultati[[#This Row],[Program]],Kriterij[[#Headers],[APF]:[PED]],Kriterij[[APF]:[PED]]), Kriterij[Ocena], "", -1, 2)</f>
        <v/>
      </c>
    </row>
    <row r="70" spans="2:16" x14ac:dyDescent="0.2">
      <c r="B70">
        <v>27000068</v>
      </c>
      <c r="C70" t="s">
        <v>10</v>
      </c>
      <c r="D70">
        <f>_xlfn.IFNA(_xlfn.XLOOKUP(Rezultati[[#This Row],[Vpisna]], DomaceNaloge[Vpisna],DomaceNaloge[Skupaj]), 0)</f>
        <v>0</v>
      </c>
      <c r="E70" t="str">
        <f>_xlfn.IFNA(_xlfn.XLOOKUP(Rezultati[[#This Row],[Vpisna]], Izpit1[Vpisna],Izpit1[Skupaj]), "")</f>
        <v/>
      </c>
      <c r="F70" t="str">
        <f>_xlfn.IFNA(_xlfn.XLOOKUP(Rezultati[[#This Row],[Vpisna]], Izpit1[Vpisna],Izpit1[Računalnik]), "")</f>
        <v/>
      </c>
      <c r="G70" s="12" t="b">
        <v>0</v>
      </c>
      <c r="H70" t="str">
        <f>_xlfn.IFNA(_xlfn.XLOOKUP(Rezultati[[#This Row],[Vpisna]], Izpit2[Vpisna],Izpit2[Skupaj]), "")</f>
        <v/>
      </c>
      <c r="I70" t="str">
        <f>_xlfn.IFNA(_xlfn.XLOOKUP(Rezultati[[#This Row],[Vpisna]], Izpit2[Vpisna],Izpit2[Računalnik]), "")</f>
        <v/>
      </c>
      <c r="J70" s="12" t="b">
        <v>0</v>
      </c>
      <c r="K70" t="str">
        <f>_xlfn.IFNA(_xlfn.XLOOKUP(Rezultati[[#This Row],[Vpisna]], Izpit3[Vpisna],Izpit3[Skupaj]), "")</f>
        <v/>
      </c>
      <c r="L70" s="12" t="b">
        <v>0</v>
      </c>
      <c r="M70">
        <f>MAX(Rezultati[[#This Row],[1.izpit]],Rezultati[[#This Row],[2.izpit]],Rezultati[[#This Row],[3.izpit]])</f>
        <v>0</v>
      </c>
      <c r="N70"/>
      <c r="O70">
        <f>Rezultati[[#This Row],[DN]]+Rezultati[[#This Row],[Max]]+Rezultati[[#This Row],[Bonus]]</f>
        <v>0</v>
      </c>
      <c r="P70" t="str" cm="1">
        <f t="array" ref="P70">_xlfn.XLOOKUP(Rezultati[[#This Row],[Skupaj]],_xlfn.XLOOKUP(Rezultati[[#This Row],[Program]],Kriterij[[#Headers],[APF]:[PED]],Kriterij[[APF]:[PED]]), Kriterij[Ocena], "", -1, 2)</f>
        <v/>
      </c>
    </row>
    <row r="71" spans="2:16" x14ac:dyDescent="0.2">
      <c r="B71">
        <v>27000069</v>
      </c>
      <c r="C71" t="s">
        <v>10</v>
      </c>
      <c r="D71">
        <f>_xlfn.IFNA(_xlfn.XLOOKUP(Rezultati[[#This Row],[Vpisna]], DomaceNaloge[Vpisna],DomaceNaloge[Skupaj]), 0)</f>
        <v>0</v>
      </c>
      <c r="E71" t="str">
        <f>_xlfn.IFNA(_xlfn.XLOOKUP(Rezultati[[#This Row],[Vpisna]], Izpit1[Vpisna],Izpit1[Skupaj]), "")</f>
        <v/>
      </c>
      <c r="F71" t="str">
        <f>_xlfn.IFNA(_xlfn.XLOOKUP(Rezultati[[#This Row],[Vpisna]], Izpit1[Vpisna],Izpit1[Računalnik]), "")</f>
        <v/>
      </c>
      <c r="G71" s="12" t="b">
        <v>0</v>
      </c>
      <c r="H71" t="str">
        <f>_xlfn.IFNA(_xlfn.XLOOKUP(Rezultati[[#This Row],[Vpisna]], Izpit2[Vpisna],Izpit2[Skupaj]), "")</f>
        <v/>
      </c>
      <c r="I71" t="str">
        <f>_xlfn.IFNA(_xlfn.XLOOKUP(Rezultati[[#This Row],[Vpisna]], Izpit2[Vpisna],Izpit2[Računalnik]), "")</f>
        <v/>
      </c>
      <c r="J71" s="12" t="b">
        <v>0</v>
      </c>
      <c r="K71" t="str">
        <f>_xlfn.IFNA(_xlfn.XLOOKUP(Rezultati[[#This Row],[Vpisna]], Izpit3[Vpisna],Izpit3[Skupaj]), "")</f>
        <v/>
      </c>
      <c r="L71" s="12" t="b">
        <v>0</v>
      </c>
      <c r="M71">
        <f>MAX(Rezultati[[#This Row],[1.izpit]],Rezultati[[#This Row],[2.izpit]],Rezultati[[#This Row],[3.izpit]])</f>
        <v>0</v>
      </c>
      <c r="N71"/>
      <c r="O71">
        <f>Rezultati[[#This Row],[DN]]+Rezultati[[#This Row],[Max]]+Rezultati[[#This Row],[Bonus]]</f>
        <v>0</v>
      </c>
      <c r="P71" t="str" cm="1">
        <f t="array" ref="P71">_xlfn.XLOOKUP(Rezultati[[#This Row],[Skupaj]],_xlfn.XLOOKUP(Rezultati[[#This Row],[Program]],Kriterij[[#Headers],[APF]:[PED]],Kriterij[[APF]:[PED]]), Kriterij[Ocena], "", -1, 2)</f>
        <v/>
      </c>
    </row>
    <row r="72" spans="2:16" x14ac:dyDescent="0.2">
      <c r="B72">
        <v>27000070</v>
      </c>
      <c r="C72" t="s">
        <v>10</v>
      </c>
      <c r="D72">
        <f>_xlfn.IFNA(_xlfn.XLOOKUP(Rezultati[[#This Row],[Vpisna]], DomaceNaloge[Vpisna],DomaceNaloge[Skupaj]), 0)</f>
        <v>0</v>
      </c>
      <c r="E72" t="str">
        <f>_xlfn.IFNA(_xlfn.XLOOKUP(Rezultati[[#This Row],[Vpisna]], Izpit1[Vpisna],Izpit1[Skupaj]), "")</f>
        <v/>
      </c>
      <c r="F72" t="str">
        <f>_xlfn.IFNA(_xlfn.XLOOKUP(Rezultati[[#This Row],[Vpisna]], Izpit1[Vpisna],Izpit1[Računalnik]), "")</f>
        <v/>
      </c>
      <c r="G72" s="12" t="b">
        <v>0</v>
      </c>
      <c r="H72" t="str">
        <f>_xlfn.IFNA(_xlfn.XLOOKUP(Rezultati[[#This Row],[Vpisna]], Izpit2[Vpisna],Izpit2[Skupaj]), "")</f>
        <v/>
      </c>
      <c r="I72" t="str">
        <f>_xlfn.IFNA(_xlfn.XLOOKUP(Rezultati[[#This Row],[Vpisna]], Izpit2[Vpisna],Izpit2[Računalnik]), "")</f>
        <v/>
      </c>
      <c r="J72" s="12" t="b">
        <v>0</v>
      </c>
      <c r="K72" t="str">
        <f>_xlfn.IFNA(_xlfn.XLOOKUP(Rezultati[[#This Row],[Vpisna]], Izpit3[Vpisna],Izpit3[Skupaj]), "")</f>
        <v/>
      </c>
      <c r="L72" s="12" t="b">
        <v>0</v>
      </c>
      <c r="M72">
        <f>MAX(Rezultati[[#This Row],[1.izpit]],Rezultati[[#This Row],[2.izpit]],Rezultati[[#This Row],[3.izpit]])</f>
        <v>0</v>
      </c>
      <c r="N72"/>
      <c r="O72">
        <f>Rezultati[[#This Row],[DN]]+Rezultati[[#This Row],[Max]]+Rezultati[[#This Row],[Bonus]]</f>
        <v>0</v>
      </c>
      <c r="P72" t="str" cm="1">
        <f t="array" ref="P72">_xlfn.XLOOKUP(Rezultati[[#This Row],[Skupaj]],_xlfn.XLOOKUP(Rezultati[[#This Row],[Program]],Kriterij[[#Headers],[APF]:[PED]],Kriterij[[APF]:[PED]]), Kriterij[Ocena], "", -1, 2)</f>
        <v/>
      </c>
    </row>
    <row r="73" spans="2:16" x14ac:dyDescent="0.2">
      <c r="B73">
        <v>27000071</v>
      </c>
      <c r="C73" t="s">
        <v>10</v>
      </c>
      <c r="D73">
        <f>_xlfn.IFNA(_xlfn.XLOOKUP(Rezultati[[#This Row],[Vpisna]], DomaceNaloge[Vpisna],DomaceNaloge[Skupaj]), 0)</f>
        <v>3</v>
      </c>
      <c r="E73" t="str">
        <f>_xlfn.IFNA(_xlfn.XLOOKUP(Rezultati[[#This Row],[Vpisna]], Izpit1[Vpisna],Izpit1[Skupaj]), "")</f>
        <v/>
      </c>
      <c r="F73" t="str">
        <f>_xlfn.IFNA(_xlfn.XLOOKUP(Rezultati[[#This Row],[Vpisna]], Izpit1[Vpisna],Izpit1[Računalnik]), "")</f>
        <v/>
      </c>
      <c r="G73" s="12" t="b">
        <v>0</v>
      </c>
      <c r="H73" t="str">
        <f>_xlfn.IFNA(_xlfn.XLOOKUP(Rezultati[[#This Row],[Vpisna]], Izpit2[Vpisna],Izpit2[Skupaj]), "")</f>
        <v/>
      </c>
      <c r="I73" t="str">
        <f>_xlfn.IFNA(_xlfn.XLOOKUP(Rezultati[[#This Row],[Vpisna]], Izpit2[Vpisna],Izpit2[Računalnik]), "")</f>
        <v/>
      </c>
      <c r="J73" s="12" t="b">
        <v>0</v>
      </c>
      <c r="K73" t="str">
        <f>_xlfn.IFNA(_xlfn.XLOOKUP(Rezultati[[#This Row],[Vpisna]], Izpit3[Vpisna],Izpit3[Skupaj]), "")</f>
        <v/>
      </c>
      <c r="L73" s="12" t="b">
        <v>0</v>
      </c>
      <c r="M73">
        <f>MAX(Rezultati[[#This Row],[1.izpit]],Rezultati[[#This Row],[2.izpit]],Rezultati[[#This Row],[3.izpit]])</f>
        <v>0</v>
      </c>
      <c r="N73"/>
      <c r="O73">
        <f>Rezultati[[#This Row],[DN]]+Rezultati[[#This Row],[Max]]+Rezultati[[#This Row],[Bonus]]</f>
        <v>3</v>
      </c>
      <c r="P73" cm="1">
        <f t="array" ref="P73">_xlfn.XLOOKUP(Rezultati[[#This Row],[Skupaj]],_xlfn.XLOOKUP(Rezultati[[#This Row],[Program]],Kriterij[[#Headers],[APF]:[PED]],Kriterij[[APF]:[PED]]), Kriterij[Ocena], "", -1, 2)</f>
        <v>5</v>
      </c>
    </row>
    <row r="74" spans="2:16" x14ac:dyDescent="0.2">
      <c r="B74">
        <v>27000072</v>
      </c>
      <c r="C74" t="s">
        <v>10</v>
      </c>
      <c r="D74">
        <f>_xlfn.IFNA(_xlfn.XLOOKUP(Rezultati[[#This Row],[Vpisna]], DomaceNaloge[Vpisna],DomaceNaloge[Skupaj]), 0)</f>
        <v>0</v>
      </c>
      <c r="E74" t="str">
        <f>_xlfn.IFNA(_xlfn.XLOOKUP(Rezultati[[#This Row],[Vpisna]], Izpit1[Vpisna],Izpit1[Skupaj]), "")</f>
        <v/>
      </c>
      <c r="F74" t="str">
        <f>_xlfn.IFNA(_xlfn.XLOOKUP(Rezultati[[#This Row],[Vpisna]], Izpit1[Vpisna],Izpit1[Računalnik]), "")</f>
        <v/>
      </c>
      <c r="G74" s="12" t="b">
        <v>0</v>
      </c>
      <c r="H74" t="str">
        <f>_xlfn.IFNA(_xlfn.XLOOKUP(Rezultati[[#This Row],[Vpisna]], Izpit2[Vpisna],Izpit2[Skupaj]), "")</f>
        <v/>
      </c>
      <c r="I74" t="str">
        <f>_xlfn.IFNA(_xlfn.XLOOKUP(Rezultati[[#This Row],[Vpisna]], Izpit2[Vpisna],Izpit2[Računalnik]), "")</f>
        <v/>
      </c>
      <c r="J74" s="12" t="b">
        <v>0</v>
      </c>
      <c r="K74" t="str">
        <f>_xlfn.IFNA(_xlfn.XLOOKUP(Rezultati[[#This Row],[Vpisna]], Izpit3[Vpisna],Izpit3[Skupaj]), "")</f>
        <v/>
      </c>
      <c r="L74" s="12" t="b">
        <v>0</v>
      </c>
      <c r="M74">
        <f>MAX(Rezultati[[#This Row],[1.izpit]],Rezultati[[#This Row],[2.izpit]],Rezultati[[#This Row],[3.izpit]])</f>
        <v>0</v>
      </c>
      <c r="N74"/>
      <c r="O74">
        <f>Rezultati[[#This Row],[DN]]+Rezultati[[#This Row],[Max]]+Rezultati[[#This Row],[Bonus]]</f>
        <v>0</v>
      </c>
      <c r="P74" t="str" cm="1">
        <f t="array" ref="P74">_xlfn.XLOOKUP(Rezultati[[#This Row],[Skupaj]],_xlfn.XLOOKUP(Rezultati[[#This Row],[Program]],Kriterij[[#Headers],[APF]:[PED]],Kriterij[[APF]:[PED]]), Kriterij[Ocena], "", -1, 2)</f>
        <v/>
      </c>
    </row>
    <row r="75" spans="2:16" x14ac:dyDescent="0.2">
      <c r="B75">
        <v>27000073</v>
      </c>
      <c r="C75" t="s">
        <v>10</v>
      </c>
      <c r="D75">
        <f>_xlfn.IFNA(_xlfn.XLOOKUP(Rezultati[[#This Row],[Vpisna]], DomaceNaloge[Vpisna],DomaceNaloge[Skupaj]), 0)</f>
        <v>0</v>
      </c>
      <c r="E75" t="str">
        <f>_xlfn.IFNA(_xlfn.XLOOKUP(Rezultati[[#This Row],[Vpisna]], Izpit1[Vpisna],Izpit1[Skupaj]), "")</f>
        <v/>
      </c>
      <c r="F75" t="str">
        <f>_xlfn.IFNA(_xlfn.XLOOKUP(Rezultati[[#This Row],[Vpisna]], Izpit1[Vpisna],Izpit1[Računalnik]), "")</f>
        <v/>
      </c>
      <c r="G75" s="12" t="b">
        <v>0</v>
      </c>
      <c r="H75" t="str">
        <f>_xlfn.IFNA(_xlfn.XLOOKUP(Rezultati[[#This Row],[Vpisna]], Izpit2[Vpisna],Izpit2[Skupaj]), "")</f>
        <v/>
      </c>
      <c r="I75" t="str">
        <f>_xlfn.IFNA(_xlfn.XLOOKUP(Rezultati[[#This Row],[Vpisna]], Izpit2[Vpisna],Izpit2[Računalnik]), "")</f>
        <v/>
      </c>
      <c r="J75" s="12" t="b">
        <v>0</v>
      </c>
      <c r="K75" t="str">
        <f>_xlfn.IFNA(_xlfn.XLOOKUP(Rezultati[[#This Row],[Vpisna]], Izpit3[Vpisna],Izpit3[Skupaj]), "")</f>
        <v/>
      </c>
      <c r="L75" s="12" t="b">
        <v>0</v>
      </c>
      <c r="M75">
        <f>MAX(Rezultati[[#This Row],[1.izpit]],Rezultati[[#This Row],[2.izpit]],Rezultati[[#This Row],[3.izpit]])</f>
        <v>0</v>
      </c>
      <c r="N75"/>
      <c r="O75">
        <f>Rezultati[[#This Row],[DN]]+Rezultati[[#This Row],[Max]]+Rezultati[[#This Row],[Bonus]]</f>
        <v>0</v>
      </c>
      <c r="P75" t="str" cm="1">
        <f t="array" ref="P75">_xlfn.XLOOKUP(Rezultati[[#This Row],[Skupaj]],_xlfn.XLOOKUP(Rezultati[[#This Row],[Program]],Kriterij[[#Headers],[APF]:[PED]],Kriterij[[APF]:[PED]]), Kriterij[Ocena], "", -1, 2)</f>
        <v/>
      </c>
    </row>
    <row r="76" spans="2:16" x14ac:dyDescent="0.2">
      <c r="B76">
        <v>27000074</v>
      </c>
      <c r="C76" t="s">
        <v>10</v>
      </c>
      <c r="D76">
        <f>_xlfn.IFNA(_xlfn.XLOOKUP(Rezultati[[#This Row],[Vpisna]], DomaceNaloge[Vpisna],DomaceNaloge[Skupaj]), 0)</f>
        <v>3</v>
      </c>
      <c r="E76" t="str">
        <f>_xlfn.IFNA(_xlfn.XLOOKUP(Rezultati[[#This Row],[Vpisna]], Izpit1[Vpisna],Izpit1[Skupaj]), "")</f>
        <v/>
      </c>
      <c r="F76" t="str">
        <f>_xlfn.IFNA(_xlfn.XLOOKUP(Rezultati[[#This Row],[Vpisna]], Izpit1[Vpisna],Izpit1[Računalnik]), "")</f>
        <v/>
      </c>
      <c r="G76" s="12" t="b">
        <v>0</v>
      </c>
      <c r="H76" t="str">
        <f>_xlfn.IFNA(_xlfn.XLOOKUP(Rezultati[[#This Row],[Vpisna]], Izpit2[Vpisna],Izpit2[Skupaj]), "")</f>
        <v/>
      </c>
      <c r="I76" t="str">
        <f>_xlfn.IFNA(_xlfn.XLOOKUP(Rezultati[[#This Row],[Vpisna]], Izpit2[Vpisna],Izpit2[Računalnik]), "")</f>
        <v/>
      </c>
      <c r="J76" s="12" t="b">
        <v>0</v>
      </c>
      <c r="K76" t="str">
        <f>_xlfn.IFNA(_xlfn.XLOOKUP(Rezultati[[#This Row],[Vpisna]], Izpit3[Vpisna],Izpit3[Skupaj]), "")</f>
        <v/>
      </c>
      <c r="L76" s="12" t="b">
        <v>0</v>
      </c>
      <c r="M76">
        <f>MAX(Rezultati[[#This Row],[1.izpit]],Rezultati[[#This Row],[2.izpit]],Rezultati[[#This Row],[3.izpit]])</f>
        <v>0</v>
      </c>
      <c r="N76"/>
      <c r="O76">
        <f>Rezultati[[#This Row],[DN]]+Rezultati[[#This Row],[Max]]+Rezultati[[#This Row],[Bonus]]</f>
        <v>3</v>
      </c>
      <c r="P76" cm="1">
        <f t="array" ref="P76">_xlfn.XLOOKUP(Rezultati[[#This Row],[Skupaj]],_xlfn.XLOOKUP(Rezultati[[#This Row],[Program]],Kriterij[[#Headers],[APF]:[PED]],Kriterij[[APF]:[PED]]), Kriterij[Ocena], "", -1, 2)</f>
        <v>5</v>
      </c>
    </row>
    <row r="77" spans="2:16" x14ac:dyDescent="0.2">
      <c r="B77">
        <v>27000075</v>
      </c>
      <c r="C77" t="s">
        <v>10</v>
      </c>
      <c r="D77">
        <f>_xlfn.IFNA(_xlfn.XLOOKUP(Rezultati[[#This Row],[Vpisna]], DomaceNaloge[Vpisna],DomaceNaloge[Skupaj]), 0)</f>
        <v>0</v>
      </c>
      <c r="E77" t="str">
        <f>_xlfn.IFNA(_xlfn.XLOOKUP(Rezultati[[#This Row],[Vpisna]], Izpit1[Vpisna],Izpit1[Skupaj]), "")</f>
        <v/>
      </c>
      <c r="F77" t="str">
        <f>_xlfn.IFNA(_xlfn.XLOOKUP(Rezultati[[#This Row],[Vpisna]], Izpit1[Vpisna],Izpit1[Računalnik]), "")</f>
        <v/>
      </c>
      <c r="G77" s="12" t="b">
        <v>0</v>
      </c>
      <c r="H77" t="str">
        <f>_xlfn.IFNA(_xlfn.XLOOKUP(Rezultati[[#This Row],[Vpisna]], Izpit2[Vpisna],Izpit2[Skupaj]), "")</f>
        <v/>
      </c>
      <c r="I77" t="str">
        <f>_xlfn.IFNA(_xlfn.XLOOKUP(Rezultati[[#This Row],[Vpisna]], Izpit2[Vpisna],Izpit2[Računalnik]), "")</f>
        <v/>
      </c>
      <c r="J77" s="12" t="b">
        <v>0</v>
      </c>
      <c r="K77" t="str">
        <f>_xlfn.IFNA(_xlfn.XLOOKUP(Rezultati[[#This Row],[Vpisna]], Izpit3[Vpisna],Izpit3[Skupaj]), "")</f>
        <v/>
      </c>
      <c r="L77" s="12" t="b">
        <v>0</v>
      </c>
      <c r="M77">
        <f>MAX(Rezultati[[#This Row],[1.izpit]],Rezultati[[#This Row],[2.izpit]],Rezultati[[#This Row],[3.izpit]])</f>
        <v>0</v>
      </c>
      <c r="N77"/>
      <c r="O77">
        <f>Rezultati[[#This Row],[DN]]+Rezultati[[#This Row],[Max]]+Rezultati[[#This Row],[Bonus]]</f>
        <v>0</v>
      </c>
      <c r="P77" t="str" cm="1">
        <f t="array" ref="P77">_xlfn.XLOOKUP(Rezultati[[#This Row],[Skupaj]],_xlfn.XLOOKUP(Rezultati[[#This Row],[Program]],Kriterij[[#Headers],[APF]:[PED]],Kriterij[[APF]:[PED]]), Kriterij[Ocena], "", -1, 2)</f>
        <v/>
      </c>
    </row>
    <row r="78" spans="2:16" x14ac:dyDescent="0.2">
      <c r="B78">
        <v>27000076</v>
      </c>
      <c r="C78" t="s">
        <v>10</v>
      </c>
      <c r="D78">
        <f>_xlfn.IFNA(_xlfn.XLOOKUP(Rezultati[[#This Row],[Vpisna]], DomaceNaloge[Vpisna],DomaceNaloge[Skupaj]), 0)</f>
        <v>8</v>
      </c>
      <c r="E78">
        <f>_xlfn.IFNA(_xlfn.XLOOKUP(Rezultati[[#This Row],[Vpisna]], Izpit1[Vpisna],Izpit1[Skupaj]), "")</f>
        <v>92.5</v>
      </c>
      <c r="F78" t="str">
        <f>_xlfn.IFNA(_xlfn.XLOOKUP(Rezultati[[#This Row],[Vpisna]], Izpit1[Vpisna],Izpit1[Računalnik]), "")</f>
        <v>šolski</v>
      </c>
      <c r="G78" s="12" t="b">
        <v>1</v>
      </c>
      <c r="H78" t="str">
        <f>_xlfn.IFNA(_xlfn.XLOOKUP(Rezultati[[#This Row],[Vpisna]], Izpit2[Vpisna],Izpit2[Skupaj]), "")</f>
        <v/>
      </c>
      <c r="I78" t="str">
        <f>_xlfn.IFNA(_xlfn.XLOOKUP(Rezultati[[#This Row],[Vpisna]], Izpit2[Vpisna],Izpit2[Računalnik]), "")</f>
        <v/>
      </c>
      <c r="J78" s="12" t="b">
        <v>0</v>
      </c>
      <c r="K78" t="str">
        <f>_xlfn.IFNA(_xlfn.XLOOKUP(Rezultati[[#This Row],[Vpisna]], Izpit3[Vpisna],Izpit3[Skupaj]), "")</f>
        <v/>
      </c>
      <c r="L78" s="12" t="b">
        <v>0</v>
      </c>
      <c r="M78">
        <f>MAX(Rezultati[[#This Row],[1.izpit]],Rezultati[[#This Row],[2.izpit]],Rezultati[[#This Row],[3.izpit]])</f>
        <v>92.5</v>
      </c>
      <c r="N78"/>
      <c r="O78">
        <f>Rezultati[[#This Row],[DN]]+Rezultati[[#This Row],[Max]]+Rezultati[[#This Row],[Bonus]]</f>
        <v>100.5</v>
      </c>
      <c r="P78" cm="1">
        <f t="array" ref="P78">_xlfn.XLOOKUP(Rezultati[[#This Row],[Skupaj]],_xlfn.XLOOKUP(Rezultati[[#This Row],[Program]],Kriterij[[#Headers],[APF]:[PED]],Kriterij[[APF]:[PED]]), Kriterij[Ocena], "", -1, 2)</f>
        <v>10</v>
      </c>
    </row>
    <row r="79" spans="2:16" x14ac:dyDescent="0.2">
      <c r="B79">
        <v>27000077</v>
      </c>
      <c r="C79" t="s">
        <v>10</v>
      </c>
      <c r="D79">
        <f>_xlfn.IFNA(_xlfn.XLOOKUP(Rezultati[[#This Row],[Vpisna]], DomaceNaloge[Vpisna],DomaceNaloge[Skupaj]), 0)</f>
        <v>0</v>
      </c>
      <c r="E79" t="str">
        <f>_xlfn.IFNA(_xlfn.XLOOKUP(Rezultati[[#This Row],[Vpisna]], Izpit1[Vpisna],Izpit1[Skupaj]), "")</f>
        <v/>
      </c>
      <c r="F79" t="str">
        <f>_xlfn.IFNA(_xlfn.XLOOKUP(Rezultati[[#This Row],[Vpisna]], Izpit1[Vpisna],Izpit1[Računalnik]), "")</f>
        <v/>
      </c>
      <c r="G79" s="12" t="b">
        <v>0</v>
      </c>
      <c r="H79" t="str">
        <f>_xlfn.IFNA(_xlfn.XLOOKUP(Rezultati[[#This Row],[Vpisna]], Izpit2[Vpisna],Izpit2[Skupaj]), "")</f>
        <v/>
      </c>
      <c r="I79" t="str">
        <f>_xlfn.IFNA(_xlfn.XLOOKUP(Rezultati[[#This Row],[Vpisna]], Izpit2[Vpisna],Izpit2[Računalnik]), "")</f>
        <v/>
      </c>
      <c r="J79" s="12" t="b">
        <v>0</v>
      </c>
      <c r="K79" t="str">
        <f>_xlfn.IFNA(_xlfn.XLOOKUP(Rezultati[[#This Row],[Vpisna]], Izpit3[Vpisna],Izpit3[Skupaj]), "")</f>
        <v/>
      </c>
      <c r="L79" s="12" t="b">
        <v>0</v>
      </c>
      <c r="M79">
        <f>MAX(Rezultati[[#This Row],[1.izpit]],Rezultati[[#This Row],[2.izpit]],Rezultati[[#This Row],[3.izpit]])</f>
        <v>0</v>
      </c>
      <c r="N79"/>
      <c r="O79">
        <f>Rezultati[[#This Row],[DN]]+Rezultati[[#This Row],[Max]]+Rezultati[[#This Row],[Bonus]]</f>
        <v>0</v>
      </c>
      <c r="P79" t="str" cm="1">
        <f t="array" ref="P79">_xlfn.XLOOKUP(Rezultati[[#This Row],[Skupaj]],_xlfn.XLOOKUP(Rezultati[[#This Row],[Program]],Kriterij[[#Headers],[APF]:[PED]],Kriterij[[APF]:[PED]]), Kriterij[Ocena], "", -1, 2)</f>
        <v/>
      </c>
    </row>
    <row r="80" spans="2:16" x14ac:dyDescent="0.2">
      <c r="B80">
        <v>27000078</v>
      </c>
      <c r="C80" t="s">
        <v>10</v>
      </c>
      <c r="D80">
        <f>_xlfn.IFNA(_xlfn.XLOOKUP(Rezultati[[#This Row],[Vpisna]], DomaceNaloge[Vpisna],DomaceNaloge[Skupaj]), 0)</f>
        <v>8</v>
      </c>
      <c r="E80">
        <f>_xlfn.IFNA(_xlfn.XLOOKUP(Rezultati[[#This Row],[Vpisna]], Izpit1[Vpisna],Izpit1[Skupaj]), "")</f>
        <v>0</v>
      </c>
      <c r="F80" t="str">
        <f>_xlfn.IFNA(_xlfn.XLOOKUP(Rezultati[[#This Row],[Vpisna]], Izpit1[Vpisna],Izpit1[Računalnik]), "")</f>
        <v>šolski</v>
      </c>
      <c r="G80" s="12" t="b">
        <v>1</v>
      </c>
      <c r="H80">
        <f>_xlfn.IFNA(_xlfn.XLOOKUP(Rezultati[[#This Row],[Vpisna]], Izpit2[Vpisna],Izpit2[Skupaj]), "")</f>
        <v>67</v>
      </c>
      <c r="I80" t="str">
        <f>_xlfn.IFNA(_xlfn.XLOOKUP(Rezultati[[#This Row],[Vpisna]], Izpit2[Vpisna],Izpit2[Računalnik]), "")</f>
        <v>šolski</v>
      </c>
      <c r="J80" s="12" t="b">
        <v>1</v>
      </c>
      <c r="K80" t="str">
        <f>_xlfn.IFNA(_xlfn.XLOOKUP(Rezultati[[#This Row],[Vpisna]], Izpit3[Vpisna],Izpit3[Skupaj]), "")</f>
        <v/>
      </c>
      <c r="L80" s="12" t="b">
        <v>0</v>
      </c>
      <c r="M80">
        <f>MAX(Rezultati[[#This Row],[1.izpit]],Rezultati[[#This Row],[2.izpit]],Rezultati[[#This Row],[3.izpit]])</f>
        <v>67</v>
      </c>
      <c r="N80"/>
      <c r="O80">
        <f>Rezultati[[#This Row],[DN]]+Rezultati[[#This Row],[Max]]+Rezultati[[#This Row],[Bonus]]</f>
        <v>75</v>
      </c>
      <c r="P80" cm="1">
        <f t="array" ref="P80">_xlfn.XLOOKUP(Rezultati[[#This Row],[Skupaj]],_xlfn.XLOOKUP(Rezultati[[#This Row],[Program]],Kriterij[[#Headers],[APF]:[PED]],Kriterij[[APF]:[PED]]), Kriterij[Ocena], "", -1, 2)</f>
        <v>8</v>
      </c>
    </row>
    <row r="81" spans="2:16" x14ac:dyDescent="0.2">
      <c r="B81">
        <v>27000079</v>
      </c>
      <c r="C81" t="s">
        <v>10</v>
      </c>
      <c r="D81">
        <f>_xlfn.IFNA(_xlfn.XLOOKUP(Rezultati[[#This Row],[Vpisna]], DomaceNaloge[Vpisna],DomaceNaloge[Skupaj]), 0)</f>
        <v>8</v>
      </c>
      <c r="E81" t="str">
        <f>_xlfn.IFNA(_xlfn.XLOOKUP(Rezultati[[#This Row],[Vpisna]], Izpit1[Vpisna],Izpit1[Skupaj]), "")</f>
        <v/>
      </c>
      <c r="F81" t="str">
        <f>_xlfn.IFNA(_xlfn.XLOOKUP(Rezultati[[#This Row],[Vpisna]], Izpit1[Vpisna],Izpit1[Računalnik]), "")</f>
        <v/>
      </c>
      <c r="G81" s="12" t="b">
        <v>0</v>
      </c>
      <c r="H81">
        <f>_xlfn.IFNA(_xlfn.XLOOKUP(Rezultati[[#This Row],[Vpisna]], Izpit2[Vpisna],Izpit2[Skupaj]), "")</f>
        <v>74</v>
      </c>
      <c r="I81" t="str">
        <f>_xlfn.IFNA(_xlfn.XLOOKUP(Rezultati[[#This Row],[Vpisna]], Izpit2[Vpisna],Izpit2[Računalnik]), "")</f>
        <v>šolski</v>
      </c>
      <c r="J81" s="12" t="b">
        <v>1</v>
      </c>
      <c r="K81" t="str">
        <f>_xlfn.IFNA(_xlfn.XLOOKUP(Rezultati[[#This Row],[Vpisna]], Izpit3[Vpisna],Izpit3[Skupaj]), "")</f>
        <v/>
      </c>
      <c r="L81" s="12" t="b">
        <v>0</v>
      </c>
      <c r="M81">
        <f>MAX(Rezultati[[#This Row],[1.izpit]],Rezultati[[#This Row],[2.izpit]],Rezultati[[#This Row],[3.izpit]])</f>
        <v>74</v>
      </c>
      <c r="N81"/>
      <c r="O81">
        <f>Rezultati[[#This Row],[DN]]+Rezultati[[#This Row],[Max]]+Rezultati[[#This Row],[Bonus]]</f>
        <v>82</v>
      </c>
      <c r="P81" cm="1">
        <f t="array" ref="P81">_xlfn.XLOOKUP(Rezultati[[#This Row],[Skupaj]],_xlfn.XLOOKUP(Rezultati[[#This Row],[Program]],Kriterij[[#Headers],[APF]:[PED]],Kriterij[[APF]:[PED]]), Kriterij[Ocena], "", -1, 2)</f>
        <v>9</v>
      </c>
    </row>
    <row r="82" spans="2:16" x14ac:dyDescent="0.2">
      <c r="B82">
        <v>27000080</v>
      </c>
      <c r="C82" t="s">
        <v>10</v>
      </c>
      <c r="D82">
        <f>_xlfn.IFNA(_xlfn.XLOOKUP(Rezultati[[#This Row],[Vpisna]], DomaceNaloge[Vpisna],DomaceNaloge[Skupaj]), 0)</f>
        <v>6</v>
      </c>
      <c r="E82" t="str">
        <f>_xlfn.IFNA(_xlfn.XLOOKUP(Rezultati[[#This Row],[Vpisna]], Izpit1[Vpisna],Izpit1[Skupaj]), "")</f>
        <v/>
      </c>
      <c r="F82" t="str">
        <f>_xlfn.IFNA(_xlfn.XLOOKUP(Rezultati[[#This Row],[Vpisna]], Izpit1[Vpisna],Izpit1[Računalnik]), "")</f>
        <v/>
      </c>
      <c r="G82" s="12" t="b">
        <v>0</v>
      </c>
      <c r="H82">
        <f>_xlfn.IFNA(_xlfn.XLOOKUP(Rezultati[[#This Row],[Vpisna]], Izpit2[Vpisna],Izpit2[Skupaj]), "")</f>
        <v>47</v>
      </c>
      <c r="I82" t="str">
        <f>_xlfn.IFNA(_xlfn.XLOOKUP(Rezultati[[#This Row],[Vpisna]], Izpit2[Vpisna],Izpit2[Računalnik]), "")</f>
        <v>šolski</v>
      </c>
      <c r="J82" s="12" t="b">
        <v>1</v>
      </c>
      <c r="K82" t="str">
        <f>_xlfn.IFNA(_xlfn.XLOOKUP(Rezultati[[#This Row],[Vpisna]], Izpit3[Vpisna],Izpit3[Skupaj]), "")</f>
        <v/>
      </c>
      <c r="L82" s="12" t="b">
        <v>0</v>
      </c>
      <c r="M82">
        <f>MAX(Rezultati[[#This Row],[1.izpit]],Rezultati[[#This Row],[2.izpit]],Rezultati[[#This Row],[3.izpit]])</f>
        <v>47</v>
      </c>
      <c r="N82"/>
      <c r="O82">
        <f>Rezultati[[#This Row],[DN]]+Rezultati[[#This Row],[Max]]+Rezultati[[#This Row],[Bonus]]</f>
        <v>53</v>
      </c>
      <c r="P82" cm="1">
        <f t="array" ref="P82">_xlfn.XLOOKUP(Rezultati[[#This Row],[Skupaj]],_xlfn.XLOOKUP(Rezultati[[#This Row],[Program]],Kriterij[[#Headers],[APF]:[PED]],Kriterij[[APF]:[PED]]), Kriterij[Ocena], "", -1, 2)</f>
        <v>6</v>
      </c>
    </row>
    <row r="83" spans="2:16" x14ac:dyDescent="0.2">
      <c r="B83">
        <v>27000081</v>
      </c>
      <c r="C83" t="s">
        <v>10</v>
      </c>
      <c r="D83">
        <f>_xlfn.IFNA(_xlfn.XLOOKUP(Rezultati[[#This Row],[Vpisna]], DomaceNaloge[Vpisna],DomaceNaloge[Skupaj]), 0)</f>
        <v>6</v>
      </c>
      <c r="E83" t="str">
        <f>_xlfn.IFNA(_xlfn.XLOOKUP(Rezultati[[#This Row],[Vpisna]], Izpit1[Vpisna],Izpit1[Skupaj]), "")</f>
        <v/>
      </c>
      <c r="F83" t="str">
        <f>_xlfn.IFNA(_xlfn.XLOOKUP(Rezultati[[#This Row],[Vpisna]], Izpit1[Vpisna],Izpit1[Računalnik]), "")</f>
        <v/>
      </c>
      <c r="G83" s="12" t="b">
        <v>0</v>
      </c>
      <c r="H83">
        <f>_xlfn.IFNA(_xlfn.XLOOKUP(Rezultati[[#This Row],[Vpisna]], Izpit2[Vpisna],Izpit2[Skupaj]), "")</f>
        <v>72</v>
      </c>
      <c r="I83" t="str">
        <f>_xlfn.IFNA(_xlfn.XLOOKUP(Rezultati[[#This Row],[Vpisna]], Izpit2[Vpisna],Izpit2[Računalnik]), "")</f>
        <v>šolski</v>
      </c>
      <c r="J83" s="12" t="b">
        <v>1</v>
      </c>
      <c r="K83" t="str">
        <f>_xlfn.IFNA(_xlfn.XLOOKUP(Rezultati[[#This Row],[Vpisna]], Izpit3[Vpisna],Izpit3[Skupaj]), "")</f>
        <v/>
      </c>
      <c r="L83" s="12" t="b">
        <v>0</v>
      </c>
      <c r="M83">
        <f>MAX(Rezultati[[#This Row],[1.izpit]],Rezultati[[#This Row],[2.izpit]],Rezultati[[#This Row],[3.izpit]])</f>
        <v>72</v>
      </c>
      <c r="N83"/>
      <c r="O83">
        <f>Rezultati[[#This Row],[DN]]+Rezultati[[#This Row],[Max]]+Rezultati[[#This Row],[Bonus]]</f>
        <v>78</v>
      </c>
      <c r="P83" cm="1">
        <f t="array" ref="P83">_xlfn.XLOOKUP(Rezultati[[#This Row],[Skupaj]],_xlfn.XLOOKUP(Rezultati[[#This Row],[Program]],Kriterij[[#Headers],[APF]:[PED]],Kriterij[[APF]:[PED]]), Kriterij[Ocena], "", -1, 2)</f>
        <v>8</v>
      </c>
    </row>
    <row r="84" spans="2:16" x14ac:dyDescent="0.2">
      <c r="B84">
        <v>27000082</v>
      </c>
      <c r="C84" t="s">
        <v>10</v>
      </c>
      <c r="D84">
        <f>_xlfn.IFNA(_xlfn.XLOOKUP(Rezultati[[#This Row],[Vpisna]], DomaceNaloge[Vpisna],DomaceNaloge[Skupaj]), 0)</f>
        <v>5</v>
      </c>
      <c r="E84">
        <f>_xlfn.IFNA(_xlfn.XLOOKUP(Rezultati[[#This Row],[Vpisna]], Izpit1[Vpisna],Izpit1[Skupaj]), "")</f>
        <v>25</v>
      </c>
      <c r="F84" t="str">
        <f>_xlfn.IFNA(_xlfn.XLOOKUP(Rezultati[[#This Row],[Vpisna]], Izpit1[Vpisna],Izpit1[Računalnik]), "")</f>
        <v>šolski</v>
      </c>
      <c r="G84" s="12" t="b">
        <v>1</v>
      </c>
      <c r="H84">
        <f>_xlfn.IFNA(_xlfn.XLOOKUP(Rezultati[[#This Row],[Vpisna]], Izpit2[Vpisna],Izpit2[Skupaj]), "")</f>
        <v>45</v>
      </c>
      <c r="I84" t="str">
        <f>_xlfn.IFNA(_xlfn.XLOOKUP(Rezultati[[#This Row],[Vpisna]], Izpit2[Vpisna],Izpit2[Računalnik]), "")</f>
        <v>šolski</v>
      </c>
      <c r="J84" s="12" t="b">
        <v>1</v>
      </c>
      <c r="K84" t="str">
        <f>_xlfn.IFNA(_xlfn.XLOOKUP(Rezultati[[#This Row],[Vpisna]], Izpit3[Vpisna],Izpit3[Skupaj]), "")</f>
        <v/>
      </c>
      <c r="L84" s="12" t="b">
        <v>0</v>
      </c>
      <c r="M84">
        <f>MAX(Rezultati[[#This Row],[1.izpit]],Rezultati[[#This Row],[2.izpit]],Rezultati[[#This Row],[3.izpit]])</f>
        <v>45</v>
      </c>
      <c r="N84"/>
      <c r="O84">
        <f>Rezultati[[#This Row],[DN]]+Rezultati[[#This Row],[Max]]+Rezultati[[#This Row],[Bonus]]</f>
        <v>50</v>
      </c>
      <c r="P84" cm="1">
        <f t="array" ref="P84">_xlfn.XLOOKUP(Rezultati[[#This Row],[Skupaj]],_xlfn.XLOOKUP(Rezultati[[#This Row],[Program]],Kriterij[[#Headers],[APF]:[PED]],Kriterij[[APF]:[PED]]), Kriterij[Ocena], "", -1, 2)</f>
        <v>6</v>
      </c>
    </row>
    <row r="85" spans="2:16" x14ac:dyDescent="0.2">
      <c r="B85">
        <v>27000083</v>
      </c>
      <c r="C85" t="s">
        <v>10</v>
      </c>
      <c r="D85">
        <f>_xlfn.IFNA(_xlfn.XLOOKUP(Rezultati[[#This Row],[Vpisna]], DomaceNaloge[Vpisna],DomaceNaloge[Skupaj]), 0)</f>
        <v>8</v>
      </c>
      <c r="E85" t="str">
        <f>_xlfn.IFNA(_xlfn.XLOOKUP(Rezultati[[#This Row],[Vpisna]], Izpit1[Vpisna],Izpit1[Skupaj]), "")</f>
        <v/>
      </c>
      <c r="F85" t="str">
        <f>_xlfn.IFNA(_xlfn.XLOOKUP(Rezultati[[#This Row],[Vpisna]], Izpit1[Vpisna],Izpit1[Računalnik]), "")</f>
        <v/>
      </c>
      <c r="G85" s="12" t="b">
        <v>0</v>
      </c>
      <c r="H85">
        <f>_xlfn.IFNA(_xlfn.XLOOKUP(Rezultati[[#This Row],[Vpisna]], Izpit2[Vpisna],Izpit2[Skupaj]), "")</f>
        <v>41</v>
      </c>
      <c r="I85" t="str">
        <f>_xlfn.IFNA(_xlfn.XLOOKUP(Rezultati[[#This Row],[Vpisna]], Izpit2[Vpisna],Izpit2[Računalnik]), "")</f>
        <v>šolski</v>
      </c>
      <c r="J85" s="12" t="b">
        <v>1</v>
      </c>
      <c r="K85">
        <f>_xlfn.IFNA(_xlfn.XLOOKUP(Rezultati[[#This Row],[Vpisna]], Izpit3[Vpisna],Izpit3[Skupaj]), "")</f>
        <v>0</v>
      </c>
      <c r="L85" s="12" t="b">
        <v>1</v>
      </c>
      <c r="M85">
        <f>MAX(Rezultati[[#This Row],[1.izpit]],Rezultati[[#This Row],[2.izpit]],Rezultati[[#This Row],[3.izpit]])</f>
        <v>41</v>
      </c>
      <c r="N85"/>
      <c r="O85">
        <f>Rezultati[[#This Row],[DN]]+Rezultati[[#This Row],[Max]]+Rezultati[[#This Row],[Bonus]]</f>
        <v>49</v>
      </c>
      <c r="P85" cm="1">
        <f t="array" ref="P85">_xlfn.XLOOKUP(Rezultati[[#This Row],[Skupaj]],_xlfn.XLOOKUP(Rezultati[[#This Row],[Program]],Kriterij[[#Headers],[APF]:[PED]],Kriterij[[APF]:[PED]]), Kriterij[Ocena], "", -1, 2)</f>
        <v>5</v>
      </c>
    </row>
    <row r="86" spans="2:16" x14ac:dyDescent="0.2">
      <c r="B86">
        <v>27000084</v>
      </c>
      <c r="C86" t="s">
        <v>10</v>
      </c>
      <c r="D86">
        <f>_xlfn.IFNA(_xlfn.XLOOKUP(Rezultati[[#This Row],[Vpisna]], DomaceNaloge[Vpisna],DomaceNaloge[Skupaj]), 0)</f>
        <v>7</v>
      </c>
      <c r="E86" t="str">
        <f>_xlfn.IFNA(_xlfn.XLOOKUP(Rezultati[[#This Row],[Vpisna]], Izpit1[Vpisna],Izpit1[Skupaj]), "")</f>
        <v/>
      </c>
      <c r="F86" t="str">
        <f>_xlfn.IFNA(_xlfn.XLOOKUP(Rezultati[[#This Row],[Vpisna]], Izpit1[Vpisna],Izpit1[Računalnik]), "")</f>
        <v/>
      </c>
      <c r="G86" s="12" t="b">
        <v>0</v>
      </c>
      <c r="H86">
        <f>_xlfn.IFNA(_xlfn.XLOOKUP(Rezultati[[#This Row],[Vpisna]], Izpit2[Vpisna],Izpit2[Skupaj]), "")</f>
        <v>47</v>
      </c>
      <c r="I86" t="str">
        <f>_xlfn.IFNA(_xlfn.XLOOKUP(Rezultati[[#This Row],[Vpisna]], Izpit2[Vpisna],Izpit2[Računalnik]), "")</f>
        <v>svoj</v>
      </c>
      <c r="J86" s="12" t="b">
        <v>1</v>
      </c>
      <c r="K86" t="str">
        <f>_xlfn.IFNA(_xlfn.XLOOKUP(Rezultati[[#This Row],[Vpisna]], Izpit3[Vpisna],Izpit3[Skupaj]), "")</f>
        <v/>
      </c>
      <c r="L86" s="12" t="b">
        <v>0</v>
      </c>
      <c r="M86">
        <f>MAX(Rezultati[[#This Row],[1.izpit]],Rezultati[[#This Row],[2.izpit]],Rezultati[[#This Row],[3.izpit]])</f>
        <v>47</v>
      </c>
      <c r="N86"/>
      <c r="O86">
        <f>Rezultati[[#This Row],[DN]]+Rezultati[[#This Row],[Max]]+Rezultati[[#This Row],[Bonus]]</f>
        <v>54</v>
      </c>
      <c r="P86" cm="1">
        <f t="array" ref="P86">_xlfn.XLOOKUP(Rezultati[[#This Row],[Skupaj]],_xlfn.XLOOKUP(Rezultati[[#This Row],[Program]],Kriterij[[#Headers],[APF]:[PED]],Kriterij[[APF]:[PED]]), Kriterij[Ocena], "", -1, 2)</f>
        <v>6</v>
      </c>
    </row>
    <row r="87" spans="2:16" x14ac:dyDescent="0.2">
      <c r="B87">
        <v>27000085</v>
      </c>
      <c r="C87" t="s">
        <v>10</v>
      </c>
      <c r="D87">
        <f>_xlfn.IFNA(_xlfn.XLOOKUP(Rezultati[[#This Row],[Vpisna]], DomaceNaloge[Vpisna],DomaceNaloge[Skupaj]), 0)</f>
        <v>5</v>
      </c>
      <c r="E87" t="str">
        <f>_xlfn.IFNA(_xlfn.XLOOKUP(Rezultati[[#This Row],[Vpisna]], Izpit1[Vpisna],Izpit1[Skupaj]), "")</f>
        <v/>
      </c>
      <c r="F87" t="str">
        <f>_xlfn.IFNA(_xlfn.XLOOKUP(Rezultati[[#This Row],[Vpisna]], Izpit1[Vpisna],Izpit1[Računalnik]), "")</f>
        <v/>
      </c>
      <c r="G87" s="12" t="b">
        <v>0</v>
      </c>
      <c r="H87">
        <f>_xlfn.IFNA(_xlfn.XLOOKUP(Rezultati[[#This Row],[Vpisna]], Izpit2[Vpisna],Izpit2[Skupaj]), "")</f>
        <v>67</v>
      </c>
      <c r="I87" t="str">
        <f>_xlfn.IFNA(_xlfn.XLOOKUP(Rezultati[[#This Row],[Vpisna]], Izpit2[Vpisna],Izpit2[Računalnik]), "")</f>
        <v>svoj</v>
      </c>
      <c r="J87" s="12" t="b">
        <v>1</v>
      </c>
      <c r="K87" t="str">
        <f>_xlfn.IFNA(_xlfn.XLOOKUP(Rezultati[[#This Row],[Vpisna]], Izpit3[Vpisna],Izpit3[Skupaj]), "")</f>
        <v/>
      </c>
      <c r="L87" s="12" t="b">
        <v>0</v>
      </c>
      <c r="M87">
        <f>MAX(Rezultati[[#This Row],[1.izpit]],Rezultati[[#This Row],[2.izpit]],Rezultati[[#This Row],[3.izpit]])</f>
        <v>67</v>
      </c>
      <c r="N87"/>
      <c r="O87">
        <f>Rezultati[[#This Row],[DN]]+Rezultati[[#This Row],[Max]]+Rezultati[[#This Row],[Bonus]]</f>
        <v>72</v>
      </c>
      <c r="P87" cm="1">
        <f t="array" ref="P87">_xlfn.XLOOKUP(Rezultati[[#This Row],[Skupaj]],_xlfn.XLOOKUP(Rezultati[[#This Row],[Program]],Kriterij[[#Headers],[APF]:[PED]],Kriterij[[APF]:[PED]]), Kriterij[Ocena], "", -1, 2)</f>
        <v>8</v>
      </c>
    </row>
    <row r="88" spans="2:16" x14ac:dyDescent="0.2">
      <c r="B88">
        <v>27000086</v>
      </c>
      <c r="C88" t="s">
        <v>10</v>
      </c>
      <c r="D88">
        <f>_xlfn.IFNA(_xlfn.XLOOKUP(Rezultati[[#This Row],[Vpisna]], DomaceNaloge[Vpisna],DomaceNaloge[Skupaj]), 0)</f>
        <v>8</v>
      </c>
      <c r="E88" t="str">
        <f>_xlfn.IFNA(_xlfn.XLOOKUP(Rezultati[[#This Row],[Vpisna]], Izpit1[Vpisna],Izpit1[Skupaj]), "")</f>
        <v/>
      </c>
      <c r="F88" t="str">
        <f>_xlfn.IFNA(_xlfn.XLOOKUP(Rezultati[[#This Row],[Vpisna]], Izpit1[Vpisna],Izpit1[Računalnik]), "")</f>
        <v/>
      </c>
      <c r="G88" s="12" t="b">
        <v>0</v>
      </c>
      <c r="H88">
        <f>_xlfn.IFNA(_xlfn.XLOOKUP(Rezultati[[#This Row],[Vpisna]], Izpit2[Vpisna],Izpit2[Skupaj]), "")</f>
        <v>64</v>
      </c>
      <c r="I88" t="str">
        <f>_xlfn.IFNA(_xlfn.XLOOKUP(Rezultati[[#This Row],[Vpisna]], Izpit2[Vpisna],Izpit2[Računalnik]), "")</f>
        <v>svoj</v>
      </c>
      <c r="J88" s="12" t="b">
        <v>1</v>
      </c>
      <c r="K88" t="str">
        <f>_xlfn.IFNA(_xlfn.XLOOKUP(Rezultati[[#This Row],[Vpisna]], Izpit3[Vpisna],Izpit3[Skupaj]), "")</f>
        <v/>
      </c>
      <c r="L88" s="12" t="b">
        <v>0</v>
      </c>
      <c r="M88">
        <f>MAX(Rezultati[[#This Row],[1.izpit]],Rezultati[[#This Row],[2.izpit]],Rezultati[[#This Row],[3.izpit]])</f>
        <v>64</v>
      </c>
      <c r="N88"/>
      <c r="O88">
        <f>Rezultati[[#This Row],[DN]]+Rezultati[[#This Row],[Max]]+Rezultati[[#This Row],[Bonus]]</f>
        <v>72</v>
      </c>
      <c r="P88" cm="1">
        <f t="array" ref="P88">_xlfn.XLOOKUP(Rezultati[[#This Row],[Skupaj]],_xlfn.XLOOKUP(Rezultati[[#This Row],[Program]],Kriterij[[#Headers],[APF]:[PED]],Kriterij[[APF]:[PED]]), Kriterij[Ocena], "", -1, 2)</f>
        <v>8</v>
      </c>
    </row>
    <row r="89" spans="2:16" x14ac:dyDescent="0.2">
      <c r="B89">
        <v>27000087</v>
      </c>
      <c r="C89" t="s">
        <v>10</v>
      </c>
      <c r="D89">
        <f>_xlfn.IFNA(_xlfn.XLOOKUP(Rezultati[[#This Row],[Vpisna]], DomaceNaloge[Vpisna],DomaceNaloge[Skupaj]), 0)</f>
        <v>4</v>
      </c>
      <c r="E89" t="str">
        <f>_xlfn.IFNA(_xlfn.XLOOKUP(Rezultati[[#This Row],[Vpisna]], Izpit1[Vpisna],Izpit1[Skupaj]), "")</f>
        <v/>
      </c>
      <c r="F89" t="str">
        <f>_xlfn.IFNA(_xlfn.XLOOKUP(Rezultati[[#This Row],[Vpisna]], Izpit1[Vpisna],Izpit1[Računalnik]), "")</f>
        <v/>
      </c>
      <c r="G89" s="12" t="b">
        <v>0</v>
      </c>
      <c r="H89">
        <f>_xlfn.IFNA(_xlfn.XLOOKUP(Rezultati[[#This Row],[Vpisna]], Izpit2[Vpisna],Izpit2[Skupaj]), "")</f>
        <v>65</v>
      </c>
      <c r="I89" t="str">
        <f>_xlfn.IFNA(_xlfn.XLOOKUP(Rezultati[[#This Row],[Vpisna]], Izpit2[Vpisna],Izpit2[Računalnik]), "")</f>
        <v>svoj</v>
      </c>
      <c r="J89" s="12" t="b">
        <v>1</v>
      </c>
      <c r="K89" t="str">
        <f>_xlfn.IFNA(_xlfn.XLOOKUP(Rezultati[[#This Row],[Vpisna]], Izpit3[Vpisna],Izpit3[Skupaj]), "")</f>
        <v/>
      </c>
      <c r="L89" s="12" t="b">
        <v>0</v>
      </c>
      <c r="M89">
        <f>MAX(Rezultati[[#This Row],[1.izpit]],Rezultati[[#This Row],[2.izpit]],Rezultati[[#This Row],[3.izpit]])</f>
        <v>65</v>
      </c>
      <c r="N89">
        <v>1</v>
      </c>
      <c r="O89">
        <f>Rezultati[[#This Row],[DN]]+Rezultati[[#This Row],[Max]]+Rezultati[[#This Row],[Bonus]]</f>
        <v>70</v>
      </c>
      <c r="P89" cm="1">
        <f t="array" ref="P89">_xlfn.XLOOKUP(Rezultati[[#This Row],[Skupaj]],_xlfn.XLOOKUP(Rezultati[[#This Row],[Program]],Kriterij[[#Headers],[APF]:[PED]],Kriterij[[APF]:[PED]]), Kriterij[Ocena], "", -1, 2)</f>
        <v>8</v>
      </c>
    </row>
    <row r="90" spans="2:16" x14ac:dyDescent="0.2">
      <c r="B90">
        <v>27000088</v>
      </c>
      <c r="C90" t="s">
        <v>11</v>
      </c>
      <c r="D90">
        <f>_xlfn.IFNA(_xlfn.XLOOKUP(Rezultati[[#This Row],[Vpisna]], DomaceNaloge[Vpisna],DomaceNaloge[Skupaj]), 0)</f>
        <v>9</v>
      </c>
      <c r="E90">
        <f>_xlfn.IFNA(_xlfn.XLOOKUP(Rezultati[[#This Row],[Vpisna]], Izpit1[Vpisna],Izpit1[Skupaj]), "")</f>
        <v>77.5</v>
      </c>
      <c r="F90" t="str">
        <f>_xlfn.IFNA(_xlfn.XLOOKUP(Rezultati[[#This Row],[Vpisna]], Izpit1[Vpisna],Izpit1[Računalnik]), "")</f>
        <v>svoj</v>
      </c>
      <c r="G90" s="12" t="b">
        <v>1</v>
      </c>
      <c r="H90" t="str">
        <f>_xlfn.IFNA(_xlfn.XLOOKUP(Rezultati[[#This Row],[Vpisna]], Izpit2[Vpisna],Izpit2[Skupaj]), "")</f>
        <v/>
      </c>
      <c r="I90" t="str">
        <f>_xlfn.IFNA(_xlfn.XLOOKUP(Rezultati[[#This Row],[Vpisna]], Izpit2[Vpisna],Izpit2[Računalnik]), "")</f>
        <v/>
      </c>
      <c r="J90" s="12" t="b">
        <v>0</v>
      </c>
      <c r="K90" t="str">
        <f>_xlfn.IFNA(_xlfn.XLOOKUP(Rezultati[[#This Row],[Vpisna]], Izpit3[Vpisna],Izpit3[Skupaj]), "")</f>
        <v/>
      </c>
      <c r="L90" s="12" t="b">
        <v>0</v>
      </c>
      <c r="M90">
        <f>MAX(Rezultati[[#This Row],[1.izpit]],Rezultati[[#This Row],[2.izpit]],Rezultati[[#This Row],[3.izpit]])</f>
        <v>77.5</v>
      </c>
      <c r="N90"/>
      <c r="O90">
        <f>Rezultati[[#This Row],[DN]]+Rezultati[[#This Row],[Max]]+Rezultati[[#This Row],[Bonus]]</f>
        <v>86.5</v>
      </c>
      <c r="P90" cm="1">
        <f t="array" ref="P90">_xlfn.XLOOKUP(Rezultati[[#This Row],[Skupaj]],_xlfn.XLOOKUP(Rezultati[[#This Row],[Program]],Kriterij[[#Headers],[APF]:[PED]],Kriterij[[APF]:[PED]]), Kriterij[Ocena], "", -1, 2)</f>
        <v>9</v>
      </c>
    </row>
    <row r="91" spans="2:16" x14ac:dyDescent="0.2">
      <c r="B91">
        <v>27000089</v>
      </c>
      <c r="C91" t="s">
        <v>11</v>
      </c>
      <c r="D91">
        <f>_xlfn.IFNA(_xlfn.XLOOKUP(Rezultati[[#This Row],[Vpisna]], DomaceNaloge[Vpisna],DomaceNaloge[Skupaj]), 0)</f>
        <v>0</v>
      </c>
      <c r="E91" t="str">
        <f>_xlfn.IFNA(_xlfn.XLOOKUP(Rezultati[[#This Row],[Vpisna]], Izpit1[Vpisna],Izpit1[Skupaj]), "")</f>
        <v/>
      </c>
      <c r="F91" t="str">
        <f>_xlfn.IFNA(_xlfn.XLOOKUP(Rezultati[[#This Row],[Vpisna]], Izpit1[Vpisna],Izpit1[Računalnik]), "")</f>
        <v/>
      </c>
      <c r="G91" s="12" t="b">
        <v>0</v>
      </c>
      <c r="H91" t="str">
        <f>_xlfn.IFNA(_xlfn.XLOOKUP(Rezultati[[#This Row],[Vpisna]], Izpit2[Vpisna],Izpit2[Skupaj]), "")</f>
        <v/>
      </c>
      <c r="I91" t="str">
        <f>_xlfn.IFNA(_xlfn.XLOOKUP(Rezultati[[#This Row],[Vpisna]], Izpit2[Vpisna],Izpit2[Računalnik]), "")</f>
        <v/>
      </c>
      <c r="J91" s="12" t="b">
        <v>0</v>
      </c>
      <c r="K91" t="str">
        <f>_xlfn.IFNA(_xlfn.XLOOKUP(Rezultati[[#This Row],[Vpisna]], Izpit3[Vpisna],Izpit3[Skupaj]), "")</f>
        <v/>
      </c>
      <c r="L91" s="12" t="b">
        <v>0</v>
      </c>
      <c r="M91">
        <f>MAX(Rezultati[[#This Row],[1.izpit]],Rezultati[[#This Row],[2.izpit]],Rezultati[[#This Row],[3.izpit]])</f>
        <v>0</v>
      </c>
      <c r="N91"/>
      <c r="O91">
        <f>Rezultati[[#This Row],[DN]]+Rezultati[[#This Row],[Max]]+Rezultati[[#This Row],[Bonus]]</f>
        <v>0</v>
      </c>
      <c r="P91" t="str" cm="1">
        <f t="array" ref="P91">_xlfn.XLOOKUP(Rezultati[[#This Row],[Skupaj]],_xlfn.XLOOKUP(Rezultati[[#This Row],[Program]],Kriterij[[#Headers],[APF]:[PED]],Kriterij[[APF]:[PED]]), Kriterij[Ocena], "", -1, 2)</f>
        <v/>
      </c>
    </row>
    <row r="92" spans="2:16" x14ac:dyDescent="0.2">
      <c r="B92">
        <v>27000090</v>
      </c>
      <c r="C92" t="s">
        <v>11</v>
      </c>
      <c r="D92">
        <f>_xlfn.IFNA(_xlfn.XLOOKUP(Rezultati[[#This Row],[Vpisna]], DomaceNaloge[Vpisna],DomaceNaloge[Skupaj]), 0)</f>
        <v>0</v>
      </c>
      <c r="E92" t="str">
        <f>_xlfn.IFNA(_xlfn.XLOOKUP(Rezultati[[#This Row],[Vpisna]], Izpit1[Vpisna],Izpit1[Skupaj]), "")</f>
        <v/>
      </c>
      <c r="F92" t="str">
        <f>_xlfn.IFNA(_xlfn.XLOOKUP(Rezultati[[#This Row],[Vpisna]], Izpit1[Vpisna],Izpit1[Računalnik]), "")</f>
        <v/>
      </c>
      <c r="G92" s="12" t="b">
        <v>0</v>
      </c>
      <c r="H92" t="str">
        <f>_xlfn.IFNA(_xlfn.XLOOKUP(Rezultati[[#This Row],[Vpisna]], Izpit2[Vpisna],Izpit2[Skupaj]), "")</f>
        <v/>
      </c>
      <c r="I92" t="str">
        <f>_xlfn.IFNA(_xlfn.XLOOKUP(Rezultati[[#This Row],[Vpisna]], Izpit2[Vpisna],Izpit2[Računalnik]), "")</f>
        <v/>
      </c>
      <c r="J92" s="12" t="b">
        <v>0</v>
      </c>
      <c r="K92" t="str">
        <f>_xlfn.IFNA(_xlfn.XLOOKUP(Rezultati[[#This Row],[Vpisna]], Izpit3[Vpisna],Izpit3[Skupaj]), "")</f>
        <v/>
      </c>
      <c r="L92" s="12" t="b">
        <v>0</v>
      </c>
      <c r="M92">
        <f>MAX(Rezultati[[#This Row],[1.izpit]],Rezultati[[#This Row],[2.izpit]],Rezultati[[#This Row],[3.izpit]])</f>
        <v>0</v>
      </c>
      <c r="N92"/>
      <c r="O92">
        <f>Rezultati[[#This Row],[DN]]+Rezultati[[#This Row],[Max]]+Rezultati[[#This Row],[Bonus]]</f>
        <v>0</v>
      </c>
      <c r="P92" t="str" cm="1">
        <f t="array" ref="P92">_xlfn.XLOOKUP(Rezultati[[#This Row],[Skupaj]],_xlfn.XLOOKUP(Rezultati[[#This Row],[Program]],Kriterij[[#Headers],[APF]:[PED]],Kriterij[[APF]:[PED]]), Kriterij[Ocena], "", -1, 2)</f>
        <v/>
      </c>
    </row>
    <row r="93" spans="2:16" x14ac:dyDescent="0.2">
      <c r="B93">
        <v>27000091</v>
      </c>
      <c r="C93" t="s">
        <v>11</v>
      </c>
      <c r="D93">
        <f>_xlfn.IFNA(_xlfn.XLOOKUP(Rezultati[[#This Row],[Vpisna]], DomaceNaloge[Vpisna],DomaceNaloge[Skupaj]), 0)</f>
        <v>0</v>
      </c>
      <c r="E93" t="str">
        <f>_xlfn.IFNA(_xlfn.XLOOKUP(Rezultati[[#This Row],[Vpisna]], Izpit1[Vpisna],Izpit1[Skupaj]), "")</f>
        <v/>
      </c>
      <c r="F93" t="str">
        <f>_xlfn.IFNA(_xlfn.XLOOKUP(Rezultati[[#This Row],[Vpisna]], Izpit1[Vpisna],Izpit1[Računalnik]), "")</f>
        <v/>
      </c>
      <c r="G93" s="12" t="b">
        <v>0</v>
      </c>
      <c r="H93" t="str">
        <f>_xlfn.IFNA(_xlfn.XLOOKUP(Rezultati[[#This Row],[Vpisna]], Izpit2[Vpisna],Izpit2[Skupaj]), "")</f>
        <v/>
      </c>
      <c r="I93" t="str">
        <f>_xlfn.IFNA(_xlfn.XLOOKUP(Rezultati[[#This Row],[Vpisna]], Izpit2[Vpisna],Izpit2[Računalnik]), "")</f>
        <v/>
      </c>
      <c r="J93" s="12" t="b">
        <v>0</v>
      </c>
      <c r="K93" t="str">
        <f>_xlfn.IFNA(_xlfn.XLOOKUP(Rezultati[[#This Row],[Vpisna]], Izpit3[Vpisna],Izpit3[Skupaj]), "")</f>
        <v/>
      </c>
      <c r="L93" s="12" t="b">
        <v>0</v>
      </c>
      <c r="M93">
        <f>MAX(Rezultati[[#This Row],[1.izpit]],Rezultati[[#This Row],[2.izpit]],Rezultati[[#This Row],[3.izpit]])</f>
        <v>0</v>
      </c>
      <c r="N93"/>
      <c r="O93">
        <f>Rezultati[[#This Row],[DN]]+Rezultati[[#This Row],[Max]]+Rezultati[[#This Row],[Bonus]]</f>
        <v>0</v>
      </c>
      <c r="P93" t="str" cm="1">
        <f t="array" ref="P93">_xlfn.XLOOKUP(Rezultati[[#This Row],[Skupaj]],_xlfn.XLOOKUP(Rezultati[[#This Row],[Program]],Kriterij[[#Headers],[APF]:[PED]],Kriterij[[APF]:[PED]]), Kriterij[Ocena], "", -1, 2)</f>
        <v/>
      </c>
    </row>
    <row r="94" spans="2:16" x14ac:dyDescent="0.2">
      <c r="B94">
        <v>27000092</v>
      </c>
      <c r="C94" t="s">
        <v>11</v>
      </c>
      <c r="D94">
        <f>_xlfn.IFNA(_xlfn.XLOOKUP(Rezultati[[#This Row],[Vpisna]], DomaceNaloge[Vpisna],DomaceNaloge[Skupaj]), 0)</f>
        <v>8</v>
      </c>
      <c r="E94">
        <f>_xlfn.IFNA(_xlfn.XLOOKUP(Rezultati[[#This Row],[Vpisna]], Izpit1[Vpisna],Izpit1[Skupaj]), "")</f>
        <v>76.5</v>
      </c>
      <c r="F94" t="str">
        <f>_xlfn.IFNA(_xlfn.XLOOKUP(Rezultati[[#This Row],[Vpisna]], Izpit1[Vpisna],Izpit1[Računalnik]), "")</f>
        <v>svoj</v>
      </c>
      <c r="G94" s="12" t="b">
        <v>1</v>
      </c>
      <c r="H94" t="str">
        <f>_xlfn.IFNA(_xlfn.XLOOKUP(Rezultati[[#This Row],[Vpisna]], Izpit2[Vpisna],Izpit2[Skupaj]), "")</f>
        <v/>
      </c>
      <c r="I94" t="str">
        <f>_xlfn.IFNA(_xlfn.XLOOKUP(Rezultati[[#This Row],[Vpisna]], Izpit2[Vpisna],Izpit2[Računalnik]), "")</f>
        <v/>
      </c>
      <c r="J94" s="12" t="b">
        <v>0</v>
      </c>
      <c r="K94" t="str">
        <f>_xlfn.IFNA(_xlfn.XLOOKUP(Rezultati[[#This Row],[Vpisna]], Izpit3[Vpisna],Izpit3[Skupaj]), "")</f>
        <v/>
      </c>
      <c r="L94" s="12" t="b">
        <v>0</v>
      </c>
      <c r="M94">
        <f>MAX(Rezultati[[#This Row],[1.izpit]],Rezultati[[#This Row],[2.izpit]],Rezultati[[#This Row],[3.izpit]])</f>
        <v>76.5</v>
      </c>
      <c r="N94"/>
      <c r="O94">
        <f>Rezultati[[#This Row],[DN]]+Rezultati[[#This Row],[Max]]+Rezultati[[#This Row],[Bonus]]</f>
        <v>84.5</v>
      </c>
      <c r="P94" cm="1">
        <f t="array" ref="P94">_xlfn.XLOOKUP(Rezultati[[#This Row],[Skupaj]],_xlfn.XLOOKUP(Rezultati[[#This Row],[Program]],Kriterij[[#Headers],[APF]:[PED]],Kriterij[[APF]:[PED]]), Kriterij[Ocena], "", -1, 2)</f>
        <v>9</v>
      </c>
    </row>
    <row r="95" spans="2:16" x14ac:dyDescent="0.2">
      <c r="B95">
        <v>27000093</v>
      </c>
      <c r="C95" t="s">
        <v>11</v>
      </c>
      <c r="D95">
        <f>_xlfn.IFNA(_xlfn.XLOOKUP(Rezultati[[#This Row],[Vpisna]], DomaceNaloge[Vpisna],DomaceNaloge[Skupaj]), 0)</f>
        <v>8</v>
      </c>
      <c r="E95">
        <f>_xlfn.IFNA(_xlfn.XLOOKUP(Rezultati[[#This Row],[Vpisna]], Izpit1[Vpisna],Izpit1[Skupaj]), "")</f>
        <v>52.5</v>
      </c>
      <c r="F95" t="str">
        <f>_xlfn.IFNA(_xlfn.XLOOKUP(Rezultati[[#This Row],[Vpisna]], Izpit1[Vpisna],Izpit1[Računalnik]), "")</f>
        <v>svoj</v>
      </c>
      <c r="G95" s="12" t="b">
        <v>1</v>
      </c>
      <c r="H95" t="str">
        <f>_xlfn.IFNA(_xlfn.XLOOKUP(Rezultati[[#This Row],[Vpisna]], Izpit2[Vpisna],Izpit2[Skupaj]), "")</f>
        <v/>
      </c>
      <c r="I95" t="str">
        <f>_xlfn.IFNA(_xlfn.XLOOKUP(Rezultati[[#This Row],[Vpisna]], Izpit2[Vpisna],Izpit2[Računalnik]), "")</f>
        <v/>
      </c>
      <c r="J95" s="12" t="b">
        <v>0</v>
      </c>
      <c r="K95" t="str">
        <f>_xlfn.IFNA(_xlfn.XLOOKUP(Rezultati[[#This Row],[Vpisna]], Izpit3[Vpisna],Izpit3[Skupaj]), "")</f>
        <v/>
      </c>
      <c r="L95" s="12" t="b">
        <v>0</v>
      </c>
      <c r="M95">
        <f>MAX(Rezultati[[#This Row],[1.izpit]],Rezultati[[#This Row],[2.izpit]],Rezultati[[#This Row],[3.izpit]])</f>
        <v>52.5</v>
      </c>
      <c r="N95"/>
      <c r="O95">
        <f>Rezultati[[#This Row],[DN]]+Rezultati[[#This Row],[Max]]+Rezultati[[#This Row],[Bonus]]</f>
        <v>60.5</v>
      </c>
      <c r="P95" cm="1">
        <f t="array" ref="P95">_xlfn.XLOOKUP(Rezultati[[#This Row],[Skupaj]],_xlfn.XLOOKUP(Rezultati[[#This Row],[Program]],Kriterij[[#Headers],[APF]:[PED]],Kriterij[[APF]:[PED]]), Kriterij[Ocena], "", -1, 2)</f>
        <v>7</v>
      </c>
    </row>
    <row r="96" spans="2:16" x14ac:dyDescent="0.2">
      <c r="B96">
        <v>27000094</v>
      </c>
      <c r="C96" t="s">
        <v>11</v>
      </c>
      <c r="D96">
        <f>_xlfn.IFNA(_xlfn.XLOOKUP(Rezultati[[#This Row],[Vpisna]], DomaceNaloge[Vpisna],DomaceNaloge[Skupaj]), 0)</f>
        <v>0</v>
      </c>
      <c r="E96" t="str">
        <f>_xlfn.IFNA(_xlfn.XLOOKUP(Rezultati[[#This Row],[Vpisna]], Izpit1[Vpisna],Izpit1[Skupaj]), "")</f>
        <v/>
      </c>
      <c r="F96" t="str">
        <f>_xlfn.IFNA(_xlfn.XLOOKUP(Rezultati[[#This Row],[Vpisna]], Izpit1[Vpisna],Izpit1[Računalnik]), "")</f>
        <v/>
      </c>
      <c r="G96" s="12" t="b">
        <v>0</v>
      </c>
      <c r="H96" t="str">
        <f>_xlfn.IFNA(_xlfn.XLOOKUP(Rezultati[[#This Row],[Vpisna]], Izpit2[Vpisna],Izpit2[Skupaj]), "")</f>
        <v/>
      </c>
      <c r="I96" t="str">
        <f>_xlfn.IFNA(_xlfn.XLOOKUP(Rezultati[[#This Row],[Vpisna]], Izpit2[Vpisna],Izpit2[Računalnik]), "")</f>
        <v/>
      </c>
      <c r="J96" s="12" t="b">
        <v>0</v>
      </c>
      <c r="K96" t="str">
        <f>_xlfn.IFNA(_xlfn.XLOOKUP(Rezultati[[#This Row],[Vpisna]], Izpit3[Vpisna],Izpit3[Skupaj]), "")</f>
        <v/>
      </c>
      <c r="L96" s="12" t="b">
        <v>0</v>
      </c>
      <c r="M96">
        <f>MAX(Rezultati[[#This Row],[1.izpit]],Rezultati[[#This Row],[2.izpit]],Rezultati[[#This Row],[3.izpit]])</f>
        <v>0</v>
      </c>
      <c r="N96"/>
      <c r="O96">
        <f>Rezultati[[#This Row],[DN]]+Rezultati[[#This Row],[Max]]+Rezultati[[#This Row],[Bonus]]</f>
        <v>0</v>
      </c>
      <c r="P96" t="str" cm="1">
        <f t="array" ref="P96">_xlfn.XLOOKUP(Rezultati[[#This Row],[Skupaj]],_xlfn.XLOOKUP(Rezultati[[#This Row],[Program]],Kriterij[[#Headers],[APF]:[PED]],Kriterij[[APF]:[PED]]), Kriterij[Ocena], "", -1, 2)</f>
        <v/>
      </c>
    </row>
    <row r="97" spans="2:16" x14ac:dyDescent="0.2">
      <c r="B97">
        <v>27000095</v>
      </c>
      <c r="C97" t="s">
        <v>11</v>
      </c>
      <c r="D97">
        <f>_xlfn.IFNA(_xlfn.XLOOKUP(Rezultati[[#This Row],[Vpisna]], DomaceNaloge[Vpisna],DomaceNaloge[Skupaj]), 0)</f>
        <v>0</v>
      </c>
      <c r="E97" t="str">
        <f>_xlfn.IFNA(_xlfn.XLOOKUP(Rezultati[[#This Row],[Vpisna]], Izpit1[Vpisna],Izpit1[Skupaj]), "")</f>
        <v/>
      </c>
      <c r="F97" t="str">
        <f>_xlfn.IFNA(_xlfn.XLOOKUP(Rezultati[[#This Row],[Vpisna]], Izpit1[Vpisna],Izpit1[Računalnik]), "")</f>
        <v/>
      </c>
      <c r="G97" s="12" t="b">
        <v>0</v>
      </c>
      <c r="H97" t="str">
        <f>_xlfn.IFNA(_xlfn.XLOOKUP(Rezultati[[#This Row],[Vpisna]], Izpit2[Vpisna],Izpit2[Skupaj]), "")</f>
        <v/>
      </c>
      <c r="I97" t="str">
        <f>_xlfn.IFNA(_xlfn.XLOOKUP(Rezultati[[#This Row],[Vpisna]], Izpit2[Vpisna],Izpit2[Računalnik]), "")</f>
        <v/>
      </c>
      <c r="J97" s="12" t="b">
        <v>0</v>
      </c>
      <c r="K97" t="str">
        <f>_xlfn.IFNA(_xlfn.XLOOKUP(Rezultati[[#This Row],[Vpisna]], Izpit3[Vpisna],Izpit3[Skupaj]), "")</f>
        <v/>
      </c>
      <c r="L97" s="12" t="b">
        <v>0</v>
      </c>
      <c r="M97">
        <f>MAX(Rezultati[[#This Row],[1.izpit]],Rezultati[[#This Row],[2.izpit]],Rezultati[[#This Row],[3.izpit]])</f>
        <v>0</v>
      </c>
      <c r="N97"/>
      <c r="O97">
        <f>Rezultati[[#This Row],[DN]]+Rezultati[[#This Row],[Max]]+Rezultati[[#This Row],[Bonus]]</f>
        <v>0</v>
      </c>
      <c r="P97" t="str" cm="1">
        <f t="array" ref="P97">_xlfn.XLOOKUP(Rezultati[[#This Row],[Skupaj]],_xlfn.XLOOKUP(Rezultati[[#This Row],[Program]],Kriterij[[#Headers],[APF]:[PED]],Kriterij[[APF]:[PED]]), Kriterij[Ocena], "", -1, 2)</f>
        <v/>
      </c>
    </row>
    <row r="98" spans="2:16" x14ac:dyDescent="0.2">
      <c r="B98">
        <v>27000096</v>
      </c>
      <c r="C98" t="s">
        <v>11</v>
      </c>
      <c r="D98">
        <f>_xlfn.IFNA(_xlfn.XLOOKUP(Rezultati[[#This Row],[Vpisna]], DomaceNaloge[Vpisna],DomaceNaloge[Skupaj]), 0)</f>
        <v>9</v>
      </c>
      <c r="E98">
        <f>_xlfn.IFNA(_xlfn.XLOOKUP(Rezultati[[#This Row],[Vpisna]], Izpit1[Vpisna],Izpit1[Skupaj]), "")</f>
        <v>91.5</v>
      </c>
      <c r="F98" t="str">
        <f>_xlfn.IFNA(_xlfn.XLOOKUP(Rezultati[[#This Row],[Vpisna]], Izpit1[Vpisna],Izpit1[Računalnik]), "")</f>
        <v>šolski</v>
      </c>
      <c r="G98" s="12" t="b">
        <v>1</v>
      </c>
      <c r="H98" t="str">
        <f>_xlfn.IFNA(_xlfn.XLOOKUP(Rezultati[[#This Row],[Vpisna]], Izpit2[Vpisna],Izpit2[Skupaj]), "")</f>
        <v/>
      </c>
      <c r="I98" t="str">
        <f>_xlfn.IFNA(_xlfn.XLOOKUP(Rezultati[[#This Row],[Vpisna]], Izpit2[Vpisna],Izpit2[Računalnik]), "")</f>
        <v/>
      </c>
      <c r="J98" s="12" t="b">
        <v>0</v>
      </c>
      <c r="K98" t="str">
        <f>_xlfn.IFNA(_xlfn.XLOOKUP(Rezultati[[#This Row],[Vpisna]], Izpit3[Vpisna],Izpit3[Skupaj]), "")</f>
        <v/>
      </c>
      <c r="L98" s="12" t="b">
        <v>0</v>
      </c>
      <c r="M98">
        <f>MAX(Rezultati[[#This Row],[1.izpit]],Rezultati[[#This Row],[2.izpit]],Rezultati[[#This Row],[3.izpit]])</f>
        <v>91.5</v>
      </c>
      <c r="N98"/>
      <c r="O98">
        <f>Rezultati[[#This Row],[DN]]+Rezultati[[#This Row],[Max]]+Rezultati[[#This Row],[Bonus]]</f>
        <v>100.5</v>
      </c>
      <c r="P98" cm="1">
        <f t="array" ref="P98">_xlfn.XLOOKUP(Rezultati[[#This Row],[Skupaj]],_xlfn.XLOOKUP(Rezultati[[#This Row],[Program]],Kriterij[[#Headers],[APF]:[PED]],Kriterij[[APF]:[PED]]), Kriterij[Ocena], "", -1, 2)</f>
        <v>10</v>
      </c>
    </row>
    <row r="99" spans="2:16" x14ac:dyDescent="0.2">
      <c r="B99">
        <v>27000097</v>
      </c>
      <c r="C99" t="s">
        <v>11</v>
      </c>
      <c r="D99">
        <f>_xlfn.IFNA(_xlfn.XLOOKUP(Rezultati[[#This Row],[Vpisna]], DomaceNaloge[Vpisna],DomaceNaloge[Skupaj]), 0)</f>
        <v>0</v>
      </c>
      <c r="E99" t="str">
        <f>_xlfn.IFNA(_xlfn.XLOOKUP(Rezultati[[#This Row],[Vpisna]], Izpit1[Vpisna],Izpit1[Skupaj]), "")</f>
        <v/>
      </c>
      <c r="F99" t="str">
        <f>_xlfn.IFNA(_xlfn.XLOOKUP(Rezultati[[#This Row],[Vpisna]], Izpit1[Vpisna],Izpit1[Računalnik]), "")</f>
        <v/>
      </c>
      <c r="G99" s="12" t="b">
        <v>0</v>
      </c>
      <c r="H99" t="str">
        <f>_xlfn.IFNA(_xlfn.XLOOKUP(Rezultati[[#This Row],[Vpisna]], Izpit2[Vpisna],Izpit2[Skupaj]), "")</f>
        <v/>
      </c>
      <c r="I99" t="str">
        <f>_xlfn.IFNA(_xlfn.XLOOKUP(Rezultati[[#This Row],[Vpisna]], Izpit2[Vpisna],Izpit2[Računalnik]), "")</f>
        <v/>
      </c>
      <c r="J99" s="12" t="b">
        <v>0</v>
      </c>
      <c r="K99" t="str">
        <f>_xlfn.IFNA(_xlfn.XLOOKUP(Rezultati[[#This Row],[Vpisna]], Izpit3[Vpisna],Izpit3[Skupaj]), "")</f>
        <v/>
      </c>
      <c r="L99" s="12" t="b">
        <v>0</v>
      </c>
      <c r="M99">
        <f>MAX(Rezultati[[#This Row],[1.izpit]],Rezultati[[#This Row],[2.izpit]],Rezultati[[#This Row],[3.izpit]])</f>
        <v>0</v>
      </c>
      <c r="N99"/>
      <c r="O99">
        <f>Rezultati[[#This Row],[DN]]+Rezultati[[#This Row],[Max]]+Rezultati[[#This Row],[Bonus]]</f>
        <v>0</v>
      </c>
      <c r="P99" t="str" cm="1">
        <f t="array" ref="P99">_xlfn.XLOOKUP(Rezultati[[#This Row],[Skupaj]],_xlfn.XLOOKUP(Rezultati[[#This Row],[Program]],Kriterij[[#Headers],[APF]:[PED]],Kriterij[[APF]:[PED]]), Kriterij[Ocena], "", -1, 2)</f>
        <v/>
      </c>
    </row>
    <row r="100" spans="2:16" x14ac:dyDescent="0.2">
      <c r="B100">
        <v>27000098</v>
      </c>
      <c r="C100" t="s">
        <v>11</v>
      </c>
      <c r="D100">
        <f>_xlfn.IFNA(_xlfn.XLOOKUP(Rezultati[[#This Row],[Vpisna]], DomaceNaloge[Vpisna],DomaceNaloge[Skupaj]), 0)</f>
        <v>0</v>
      </c>
      <c r="E100" t="str">
        <f>_xlfn.IFNA(_xlfn.XLOOKUP(Rezultati[[#This Row],[Vpisna]], Izpit1[Vpisna],Izpit1[Skupaj]), "")</f>
        <v/>
      </c>
      <c r="F100" t="str">
        <f>_xlfn.IFNA(_xlfn.XLOOKUP(Rezultati[[#This Row],[Vpisna]], Izpit1[Vpisna],Izpit1[Računalnik]), "")</f>
        <v/>
      </c>
      <c r="G100" s="12" t="b">
        <v>0</v>
      </c>
      <c r="H100" t="str">
        <f>_xlfn.IFNA(_xlfn.XLOOKUP(Rezultati[[#This Row],[Vpisna]], Izpit2[Vpisna],Izpit2[Skupaj]), "")</f>
        <v/>
      </c>
      <c r="I100" t="str">
        <f>_xlfn.IFNA(_xlfn.XLOOKUP(Rezultati[[#This Row],[Vpisna]], Izpit2[Vpisna],Izpit2[Računalnik]), "")</f>
        <v/>
      </c>
      <c r="J100" s="12" t="b">
        <v>0</v>
      </c>
      <c r="K100" t="str">
        <f>_xlfn.IFNA(_xlfn.XLOOKUP(Rezultati[[#This Row],[Vpisna]], Izpit3[Vpisna],Izpit3[Skupaj]), "")</f>
        <v/>
      </c>
      <c r="L100" s="12" t="b">
        <v>0</v>
      </c>
      <c r="M100">
        <f>MAX(Rezultati[[#This Row],[1.izpit]],Rezultati[[#This Row],[2.izpit]],Rezultati[[#This Row],[3.izpit]])</f>
        <v>0</v>
      </c>
      <c r="N100"/>
      <c r="O100">
        <f>Rezultati[[#This Row],[DN]]+Rezultati[[#This Row],[Max]]+Rezultati[[#This Row],[Bonus]]</f>
        <v>0</v>
      </c>
      <c r="P100" t="str" cm="1">
        <f t="array" ref="P100">_xlfn.XLOOKUP(Rezultati[[#This Row],[Skupaj]],_xlfn.XLOOKUP(Rezultati[[#This Row],[Program]],Kriterij[[#Headers],[APF]:[PED]],Kriterij[[APF]:[PED]]), Kriterij[Ocena], "", -1, 2)</f>
        <v/>
      </c>
    </row>
    <row r="101" spans="2:16" x14ac:dyDescent="0.2">
      <c r="B101">
        <v>27000099</v>
      </c>
      <c r="C101" t="s">
        <v>11</v>
      </c>
      <c r="D101">
        <f>_xlfn.IFNA(_xlfn.XLOOKUP(Rezultati[[#This Row],[Vpisna]], DomaceNaloge[Vpisna],DomaceNaloge[Skupaj]), 0)</f>
        <v>0</v>
      </c>
      <c r="E101" t="str">
        <f>_xlfn.IFNA(_xlfn.XLOOKUP(Rezultati[[#This Row],[Vpisna]], Izpit1[Vpisna],Izpit1[Skupaj]), "")</f>
        <v/>
      </c>
      <c r="F101" t="str">
        <f>_xlfn.IFNA(_xlfn.XLOOKUP(Rezultati[[#This Row],[Vpisna]], Izpit1[Vpisna],Izpit1[Računalnik]), "")</f>
        <v/>
      </c>
      <c r="G101" s="12" t="b">
        <v>0</v>
      </c>
      <c r="H101" t="str">
        <f>_xlfn.IFNA(_xlfn.XLOOKUP(Rezultati[[#This Row],[Vpisna]], Izpit2[Vpisna],Izpit2[Skupaj]), "")</f>
        <v/>
      </c>
      <c r="I101" t="str">
        <f>_xlfn.IFNA(_xlfn.XLOOKUP(Rezultati[[#This Row],[Vpisna]], Izpit2[Vpisna],Izpit2[Računalnik]), "")</f>
        <v/>
      </c>
      <c r="J101" s="12" t="b">
        <v>0</v>
      </c>
      <c r="K101" t="str">
        <f>_xlfn.IFNA(_xlfn.XLOOKUP(Rezultati[[#This Row],[Vpisna]], Izpit3[Vpisna],Izpit3[Skupaj]), "")</f>
        <v/>
      </c>
      <c r="L101" s="12" t="b">
        <v>0</v>
      </c>
      <c r="M101">
        <f>MAX(Rezultati[[#This Row],[1.izpit]],Rezultati[[#This Row],[2.izpit]],Rezultati[[#This Row],[3.izpit]])</f>
        <v>0</v>
      </c>
      <c r="N101"/>
      <c r="O101">
        <f>Rezultati[[#This Row],[DN]]+Rezultati[[#This Row],[Max]]+Rezultati[[#This Row],[Bonus]]</f>
        <v>0</v>
      </c>
      <c r="P101" t="str" cm="1">
        <f t="array" ref="P101">_xlfn.XLOOKUP(Rezultati[[#This Row],[Skupaj]],_xlfn.XLOOKUP(Rezultati[[#This Row],[Program]],Kriterij[[#Headers],[APF]:[PED]],Kriterij[[APF]:[PED]]), Kriterij[Ocena], "", -1, 2)</f>
        <v/>
      </c>
    </row>
    <row r="102" spans="2:16" x14ac:dyDescent="0.2">
      <c r="B102">
        <v>27000100</v>
      </c>
      <c r="C102" t="s">
        <v>11</v>
      </c>
      <c r="D102">
        <f>_xlfn.IFNA(_xlfn.XLOOKUP(Rezultati[[#This Row],[Vpisna]], DomaceNaloge[Vpisna],DomaceNaloge[Skupaj]), 0)</f>
        <v>9</v>
      </c>
      <c r="E102">
        <f>_xlfn.IFNA(_xlfn.XLOOKUP(Rezultati[[#This Row],[Vpisna]], Izpit1[Vpisna],Izpit1[Skupaj]), "")</f>
        <v>82</v>
      </c>
      <c r="F102" t="str">
        <f>_xlfn.IFNA(_xlfn.XLOOKUP(Rezultati[[#This Row],[Vpisna]], Izpit1[Vpisna],Izpit1[Računalnik]), "")</f>
        <v>svoj</v>
      </c>
      <c r="G102" s="12" t="b">
        <v>1</v>
      </c>
      <c r="H102" t="str">
        <f>_xlfn.IFNA(_xlfn.XLOOKUP(Rezultati[[#This Row],[Vpisna]], Izpit2[Vpisna],Izpit2[Skupaj]), "")</f>
        <v/>
      </c>
      <c r="I102" t="str">
        <f>_xlfn.IFNA(_xlfn.XLOOKUP(Rezultati[[#This Row],[Vpisna]], Izpit2[Vpisna],Izpit2[Računalnik]), "")</f>
        <v/>
      </c>
      <c r="J102" s="12" t="b">
        <v>0</v>
      </c>
      <c r="K102" t="str">
        <f>_xlfn.IFNA(_xlfn.XLOOKUP(Rezultati[[#This Row],[Vpisna]], Izpit3[Vpisna],Izpit3[Skupaj]), "")</f>
        <v/>
      </c>
      <c r="L102" s="12" t="b">
        <v>0</v>
      </c>
      <c r="M102">
        <f>MAX(Rezultati[[#This Row],[1.izpit]],Rezultati[[#This Row],[2.izpit]],Rezultati[[#This Row],[3.izpit]])</f>
        <v>82</v>
      </c>
      <c r="N102"/>
      <c r="O102">
        <f>Rezultati[[#This Row],[DN]]+Rezultati[[#This Row],[Max]]+Rezultati[[#This Row],[Bonus]]</f>
        <v>91</v>
      </c>
      <c r="P102" cm="1">
        <f t="array" ref="P102">_xlfn.XLOOKUP(Rezultati[[#This Row],[Skupaj]],_xlfn.XLOOKUP(Rezultati[[#This Row],[Program]],Kriterij[[#Headers],[APF]:[PED]],Kriterij[[APF]:[PED]]), Kriterij[Ocena], "", -1, 2)</f>
        <v>10</v>
      </c>
    </row>
    <row r="103" spans="2:16" x14ac:dyDescent="0.2">
      <c r="B103">
        <v>27000101</v>
      </c>
      <c r="C103" t="s">
        <v>11</v>
      </c>
      <c r="D103">
        <f>_xlfn.IFNA(_xlfn.XLOOKUP(Rezultati[[#This Row],[Vpisna]], DomaceNaloge[Vpisna],DomaceNaloge[Skupaj]), 0)</f>
        <v>9</v>
      </c>
      <c r="E103">
        <f>_xlfn.IFNA(_xlfn.XLOOKUP(Rezultati[[#This Row],[Vpisna]], Izpit1[Vpisna],Izpit1[Skupaj]), "")</f>
        <v>76</v>
      </c>
      <c r="F103" t="str">
        <f>_xlfn.IFNA(_xlfn.XLOOKUP(Rezultati[[#This Row],[Vpisna]], Izpit1[Vpisna],Izpit1[Računalnik]), "")</f>
        <v>šolski</v>
      </c>
      <c r="G103" s="12" t="b">
        <v>1</v>
      </c>
      <c r="H103" t="str">
        <f>_xlfn.IFNA(_xlfn.XLOOKUP(Rezultati[[#This Row],[Vpisna]], Izpit2[Vpisna],Izpit2[Skupaj]), "")</f>
        <v/>
      </c>
      <c r="I103" t="str">
        <f>_xlfn.IFNA(_xlfn.XLOOKUP(Rezultati[[#This Row],[Vpisna]], Izpit2[Vpisna],Izpit2[Računalnik]), "")</f>
        <v/>
      </c>
      <c r="J103" s="12" t="b">
        <v>0</v>
      </c>
      <c r="K103" t="str">
        <f>_xlfn.IFNA(_xlfn.XLOOKUP(Rezultati[[#This Row],[Vpisna]], Izpit3[Vpisna],Izpit3[Skupaj]), "")</f>
        <v/>
      </c>
      <c r="L103" s="12" t="b">
        <v>0</v>
      </c>
      <c r="M103">
        <f>MAX(Rezultati[[#This Row],[1.izpit]],Rezultati[[#This Row],[2.izpit]],Rezultati[[#This Row],[3.izpit]])</f>
        <v>76</v>
      </c>
      <c r="N103"/>
      <c r="O103">
        <f>Rezultati[[#This Row],[DN]]+Rezultati[[#This Row],[Max]]+Rezultati[[#This Row],[Bonus]]</f>
        <v>85</v>
      </c>
      <c r="P103" cm="1">
        <f t="array" ref="P103">_xlfn.XLOOKUP(Rezultati[[#This Row],[Skupaj]],_xlfn.XLOOKUP(Rezultati[[#This Row],[Program]],Kriterij[[#Headers],[APF]:[PED]],Kriterij[[APF]:[PED]]), Kriterij[Ocena], "", -1, 2)</f>
        <v>9</v>
      </c>
    </row>
    <row r="104" spans="2:16" x14ac:dyDescent="0.2">
      <c r="B104">
        <v>27000102</v>
      </c>
      <c r="C104" t="s">
        <v>11</v>
      </c>
      <c r="D104">
        <f>_xlfn.IFNA(_xlfn.XLOOKUP(Rezultati[[#This Row],[Vpisna]], DomaceNaloge[Vpisna],DomaceNaloge[Skupaj]), 0)</f>
        <v>0</v>
      </c>
      <c r="E104" t="str">
        <f>_xlfn.IFNA(_xlfn.XLOOKUP(Rezultati[[#This Row],[Vpisna]], Izpit1[Vpisna],Izpit1[Skupaj]), "")</f>
        <v/>
      </c>
      <c r="F104" t="str">
        <f>_xlfn.IFNA(_xlfn.XLOOKUP(Rezultati[[#This Row],[Vpisna]], Izpit1[Vpisna],Izpit1[Računalnik]), "")</f>
        <v/>
      </c>
      <c r="G104" s="12" t="b">
        <v>0</v>
      </c>
      <c r="H104" t="str">
        <f>_xlfn.IFNA(_xlfn.XLOOKUP(Rezultati[[#This Row],[Vpisna]], Izpit2[Vpisna],Izpit2[Skupaj]), "")</f>
        <v/>
      </c>
      <c r="I104" t="str">
        <f>_xlfn.IFNA(_xlfn.XLOOKUP(Rezultati[[#This Row],[Vpisna]], Izpit2[Vpisna],Izpit2[Računalnik]), "")</f>
        <v/>
      </c>
      <c r="J104" s="12" t="b">
        <v>0</v>
      </c>
      <c r="K104" t="str">
        <f>_xlfn.IFNA(_xlfn.XLOOKUP(Rezultati[[#This Row],[Vpisna]], Izpit3[Vpisna],Izpit3[Skupaj]), "")</f>
        <v/>
      </c>
      <c r="L104" s="12" t="b">
        <v>0</v>
      </c>
      <c r="M104">
        <f>MAX(Rezultati[[#This Row],[1.izpit]],Rezultati[[#This Row],[2.izpit]],Rezultati[[#This Row],[3.izpit]])</f>
        <v>0</v>
      </c>
      <c r="N104"/>
      <c r="O104">
        <f>Rezultati[[#This Row],[DN]]+Rezultati[[#This Row],[Max]]+Rezultati[[#This Row],[Bonus]]</f>
        <v>0</v>
      </c>
      <c r="P104" t="str" cm="1">
        <f t="array" ref="P104">_xlfn.XLOOKUP(Rezultati[[#This Row],[Skupaj]],_xlfn.XLOOKUP(Rezultati[[#This Row],[Program]],Kriterij[[#Headers],[APF]:[PED]],Kriterij[[APF]:[PED]]), Kriterij[Ocena], "", -1, 2)</f>
        <v/>
      </c>
    </row>
    <row r="105" spans="2:16" x14ac:dyDescent="0.2">
      <c r="B105">
        <v>27000103</v>
      </c>
      <c r="C105" t="s">
        <v>11</v>
      </c>
      <c r="D105">
        <f>_xlfn.IFNA(_xlfn.XLOOKUP(Rezultati[[#This Row],[Vpisna]], DomaceNaloge[Vpisna],DomaceNaloge[Skupaj]), 0)</f>
        <v>8</v>
      </c>
      <c r="E105">
        <f>_xlfn.IFNA(_xlfn.XLOOKUP(Rezultati[[#This Row],[Vpisna]], Izpit1[Vpisna],Izpit1[Skupaj]), "")</f>
        <v>51</v>
      </c>
      <c r="F105" t="str">
        <f>_xlfn.IFNA(_xlfn.XLOOKUP(Rezultati[[#This Row],[Vpisna]], Izpit1[Vpisna],Izpit1[Računalnik]), "")</f>
        <v>svoj</v>
      </c>
      <c r="G105" s="12" t="b">
        <v>1</v>
      </c>
      <c r="H105" t="str">
        <f>_xlfn.IFNA(_xlfn.XLOOKUP(Rezultati[[#This Row],[Vpisna]], Izpit2[Vpisna],Izpit2[Skupaj]), "")</f>
        <v/>
      </c>
      <c r="I105" t="str">
        <f>_xlfn.IFNA(_xlfn.XLOOKUP(Rezultati[[#This Row],[Vpisna]], Izpit2[Vpisna],Izpit2[Računalnik]), "")</f>
        <v/>
      </c>
      <c r="J105" s="12" t="b">
        <v>0</v>
      </c>
      <c r="K105" t="str">
        <f>_xlfn.IFNA(_xlfn.XLOOKUP(Rezultati[[#This Row],[Vpisna]], Izpit3[Vpisna],Izpit3[Skupaj]), "")</f>
        <v/>
      </c>
      <c r="L105" s="12" t="b">
        <v>0</v>
      </c>
      <c r="M105">
        <f>MAX(Rezultati[[#This Row],[1.izpit]],Rezultati[[#This Row],[2.izpit]],Rezultati[[#This Row],[3.izpit]])</f>
        <v>51</v>
      </c>
      <c r="N105"/>
      <c r="O105">
        <f>Rezultati[[#This Row],[DN]]+Rezultati[[#This Row],[Max]]+Rezultati[[#This Row],[Bonus]]</f>
        <v>59</v>
      </c>
      <c r="P105" cm="1">
        <f t="array" ref="P105">_xlfn.XLOOKUP(Rezultati[[#This Row],[Skupaj]],_xlfn.XLOOKUP(Rezultati[[#This Row],[Program]],Kriterij[[#Headers],[APF]:[PED]],Kriterij[[APF]:[PED]]), Kriterij[Ocena], "", -1, 2)</f>
        <v>6</v>
      </c>
    </row>
    <row r="106" spans="2:16" x14ac:dyDescent="0.2">
      <c r="B106">
        <v>27000104</v>
      </c>
      <c r="C106" t="s">
        <v>11</v>
      </c>
      <c r="D106">
        <f>_xlfn.IFNA(_xlfn.XLOOKUP(Rezultati[[#This Row],[Vpisna]], DomaceNaloge[Vpisna],DomaceNaloge[Skupaj]), 0)</f>
        <v>9</v>
      </c>
      <c r="E106">
        <f>_xlfn.IFNA(_xlfn.XLOOKUP(Rezultati[[#This Row],[Vpisna]], Izpit1[Vpisna],Izpit1[Skupaj]), "")</f>
        <v>82</v>
      </c>
      <c r="F106" t="str">
        <f>_xlfn.IFNA(_xlfn.XLOOKUP(Rezultati[[#This Row],[Vpisna]], Izpit1[Vpisna],Izpit1[Računalnik]), "")</f>
        <v>svoj</v>
      </c>
      <c r="G106" s="12" t="b">
        <v>1</v>
      </c>
      <c r="H106" t="str">
        <f>_xlfn.IFNA(_xlfn.XLOOKUP(Rezultati[[#This Row],[Vpisna]], Izpit2[Vpisna],Izpit2[Skupaj]), "")</f>
        <v/>
      </c>
      <c r="I106" t="str">
        <f>_xlfn.IFNA(_xlfn.XLOOKUP(Rezultati[[#This Row],[Vpisna]], Izpit2[Vpisna],Izpit2[Računalnik]), "")</f>
        <v/>
      </c>
      <c r="J106" s="12" t="b">
        <v>0</v>
      </c>
      <c r="K106" t="str">
        <f>_xlfn.IFNA(_xlfn.XLOOKUP(Rezultati[[#This Row],[Vpisna]], Izpit3[Vpisna],Izpit3[Skupaj]), "")</f>
        <v/>
      </c>
      <c r="L106" s="12" t="b">
        <v>0</v>
      </c>
      <c r="M106">
        <f>MAX(Rezultati[[#This Row],[1.izpit]],Rezultati[[#This Row],[2.izpit]],Rezultati[[#This Row],[3.izpit]])</f>
        <v>82</v>
      </c>
      <c r="N106"/>
      <c r="O106">
        <f>Rezultati[[#This Row],[DN]]+Rezultati[[#This Row],[Max]]+Rezultati[[#This Row],[Bonus]]</f>
        <v>91</v>
      </c>
      <c r="P106" cm="1">
        <f t="array" ref="P106">_xlfn.XLOOKUP(Rezultati[[#This Row],[Skupaj]],_xlfn.XLOOKUP(Rezultati[[#This Row],[Program]],Kriterij[[#Headers],[APF]:[PED]],Kriterij[[APF]:[PED]]), Kriterij[Ocena], "", -1, 2)</f>
        <v>10</v>
      </c>
    </row>
    <row r="107" spans="2:16" x14ac:dyDescent="0.2">
      <c r="B107">
        <v>27000105</v>
      </c>
      <c r="C107" t="s">
        <v>11</v>
      </c>
      <c r="D107">
        <f>_xlfn.IFNA(_xlfn.XLOOKUP(Rezultati[[#This Row],[Vpisna]], DomaceNaloge[Vpisna],DomaceNaloge[Skupaj]), 0)</f>
        <v>0</v>
      </c>
      <c r="E107">
        <f>_xlfn.IFNA(_xlfn.XLOOKUP(Rezultati[[#This Row],[Vpisna]], Izpit1[Vpisna],Izpit1[Skupaj]), "")</f>
        <v>56</v>
      </c>
      <c r="F107" t="str">
        <f>_xlfn.IFNA(_xlfn.XLOOKUP(Rezultati[[#This Row],[Vpisna]], Izpit1[Vpisna],Izpit1[Računalnik]), "")</f>
        <v>šolski</v>
      </c>
      <c r="G107" s="12" t="b">
        <v>1</v>
      </c>
      <c r="H107" t="str">
        <f>_xlfn.IFNA(_xlfn.XLOOKUP(Rezultati[[#This Row],[Vpisna]], Izpit2[Vpisna],Izpit2[Skupaj]), "")</f>
        <v/>
      </c>
      <c r="I107" t="str">
        <f>_xlfn.IFNA(_xlfn.XLOOKUP(Rezultati[[#This Row],[Vpisna]], Izpit2[Vpisna],Izpit2[Računalnik]), "")</f>
        <v/>
      </c>
      <c r="J107" s="12" t="b">
        <v>0</v>
      </c>
      <c r="K107" t="str">
        <f>_xlfn.IFNA(_xlfn.XLOOKUP(Rezultati[[#This Row],[Vpisna]], Izpit3[Vpisna],Izpit3[Skupaj]), "")</f>
        <v/>
      </c>
      <c r="L107" s="12" t="b">
        <v>0</v>
      </c>
      <c r="M107">
        <f>MAX(Rezultati[[#This Row],[1.izpit]],Rezultati[[#This Row],[2.izpit]],Rezultati[[#This Row],[3.izpit]])</f>
        <v>56</v>
      </c>
      <c r="N107"/>
      <c r="O107">
        <f>Rezultati[[#This Row],[DN]]+Rezultati[[#This Row],[Max]]+Rezultati[[#This Row],[Bonus]]</f>
        <v>56</v>
      </c>
      <c r="P107" cm="1">
        <f t="array" ref="P107">_xlfn.XLOOKUP(Rezultati[[#This Row],[Skupaj]],_xlfn.XLOOKUP(Rezultati[[#This Row],[Program]],Kriterij[[#Headers],[APF]:[PED]],Kriterij[[APF]:[PED]]), Kriterij[Ocena], "", -1, 2)</f>
        <v>6</v>
      </c>
    </row>
    <row r="108" spans="2:16" x14ac:dyDescent="0.2">
      <c r="B108">
        <v>27000106</v>
      </c>
      <c r="C108" t="s">
        <v>11</v>
      </c>
      <c r="D108">
        <f>_xlfn.IFNA(_xlfn.XLOOKUP(Rezultati[[#This Row],[Vpisna]], DomaceNaloge[Vpisna],DomaceNaloge[Skupaj]), 0)</f>
        <v>0</v>
      </c>
      <c r="E108" t="str">
        <f>_xlfn.IFNA(_xlfn.XLOOKUP(Rezultati[[#This Row],[Vpisna]], Izpit1[Vpisna],Izpit1[Skupaj]), "")</f>
        <v/>
      </c>
      <c r="F108" t="str">
        <f>_xlfn.IFNA(_xlfn.XLOOKUP(Rezultati[[#This Row],[Vpisna]], Izpit1[Vpisna],Izpit1[Računalnik]), "")</f>
        <v/>
      </c>
      <c r="G108" s="12" t="b">
        <v>0</v>
      </c>
      <c r="H108" t="str">
        <f>_xlfn.IFNA(_xlfn.XLOOKUP(Rezultati[[#This Row],[Vpisna]], Izpit2[Vpisna],Izpit2[Skupaj]), "")</f>
        <v/>
      </c>
      <c r="I108" t="str">
        <f>_xlfn.IFNA(_xlfn.XLOOKUP(Rezultati[[#This Row],[Vpisna]], Izpit2[Vpisna],Izpit2[Računalnik]), "")</f>
        <v/>
      </c>
      <c r="J108" s="12" t="b">
        <v>0</v>
      </c>
      <c r="K108" t="str">
        <f>_xlfn.IFNA(_xlfn.XLOOKUP(Rezultati[[#This Row],[Vpisna]], Izpit3[Vpisna],Izpit3[Skupaj]), "")</f>
        <v/>
      </c>
      <c r="L108" s="12" t="b">
        <v>0</v>
      </c>
      <c r="M108">
        <f>MAX(Rezultati[[#This Row],[1.izpit]],Rezultati[[#This Row],[2.izpit]],Rezultati[[#This Row],[3.izpit]])</f>
        <v>0</v>
      </c>
      <c r="N108"/>
      <c r="O108">
        <f>Rezultati[[#This Row],[DN]]+Rezultati[[#This Row],[Max]]+Rezultati[[#This Row],[Bonus]]</f>
        <v>0</v>
      </c>
      <c r="P108" t="str" cm="1">
        <f t="array" ref="P108">_xlfn.XLOOKUP(Rezultati[[#This Row],[Skupaj]],_xlfn.XLOOKUP(Rezultati[[#This Row],[Program]],Kriterij[[#Headers],[APF]:[PED]],Kriterij[[APF]:[PED]]), Kriterij[Ocena], "", -1, 2)</f>
        <v/>
      </c>
    </row>
    <row r="109" spans="2:16" x14ac:dyDescent="0.2">
      <c r="B109">
        <v>27000107</v>
      </c>
      <c r="C109" t="s">
        <v>11</v>
      </c>
      <c r="D109">
        <f>_xlfn.IFNA(_xlfn.XLOOKUP(Rezultati[[#This Row],[Vpisna]], DomaceNaloge[Vpisna],DomaceNaloge[Skupaj]), 0)</f>
        <v>0</v>
      </c>
      <c r="E109" t="str">
        <f>_xlfn.IFNA(_xlfn.XLOOKUP(Rezultati[[#This Row],[Vpisna]], Izpit1[Vpisna],Izpit1[Skupaj]), "")</f>
        <v/>
      </c>
      <c r="F109" t="str">
        <f>_xlfn.IFNA(_xlfn.XLOOKUP(Rezultati[[#This Row],[Vpisna]], Izpit1[Vpisna],Izpit1[Računalnik]), "")</f>
        <v/>
      </c>
      <c r="G109" s="12" t="b">
        <v>0</v>
      </c>
      <c r="H109" t="str">
        <f>_xlfn.IFNA(_xlfn.XLOOKUP(Rezultati[[#This Row],[Vpisna]], Izpit2[Vpisna],Izpit2[Skupaj]), "")</f>
        <v/>
      </c>
      <c r="I109" t="str">
        <f>_xlfn.IFNA(_xlfn.XLOOKUP(Rezultati[[#This Row],[Vpisna]], Izpit2[Vpisna],Izpit2[Računalnik]), "")</f>
        <v/>
      </c>
      <c r="J109" s="12" t="b">
        <v>0</v>
      </c>
      <c r="K109" t="str">
        <f>_xlfn.IFNA(_xlfn.XLOOKUP(Rezultati[[#This Row],[Vpisna]], Izpit3[Vpisna],Izpit3[Skupaj]), "")</f>
        <v/>
      </c>
      <c r="L109" s="12" t="b">
        <v>0</v>
      </c>
      <c r="M109">
        <f>MAX(Rezultati[[#This Row],[1.izpit]],Rezultati[[#This Row],[2.izpit]],Rezultati[[#This Row],[3.izpit]])</f>
        <v>0</v>
      </c>
      <c r="N109"/>
      <c r="O109">
        <f>Rezultati[[#This Row],[DN]]+Rezultati[[#This Row],[Max]]+Rezultati[[#This Row],[Bonus]]</f>
        <v>0</v>
      </c>
      <c r="P109" t="str" cm="1">
        <f t="array" ref="P109">_xlfn.XLOOKUP(Rezultati[[#This Row],[Skupaj]],_xlfn.XLOOKUP(Rezultati[[#This Row],[Program]],Kriterij[[#Headers],[APF]:[PED]],Kriterij[[APF]:[PED]]), Kriterij[Ocena], "", -1, 2)</f>
        <v/>
      </c>
    </row>
    <row r="110" spans="2:16" x14ac:dyDescent="0.2">
      <c r="B110">
        <v>27000108</v>
      </c>
      <c r="C110" t="s">
        <v>11</v>
      </c>
      <c r="D110">
        <f>_xlfn.IFNA(_xlfn.XLOOKUP(Rezultati[[#This Row],[Vpisna]], DomaceNaloge[Vpisna],DomaceNaloge[Skupaj]), 0)</f>
        <v>0</v>
      </c>
      <c r="E110" t="str">
        <f>_xlfn.IFNA(_xlfn.XLOOKUP(Rezultati[[#This Row],[Vpisna]], Izpit1[Vpisna],Izpit1[Skupaj]), "")</f>
        <v/>
      </c>
      <c r="F110" t="str">
        <f>_xlfn.IFNA(_xlfn.XLOOKUP(Rezultati[[#This Row],[Vpisna]], Izpit1[Vpisna],Izpit1[Računalnik]), "")</f>
        <v/>
      </c>
      <c r="G110" s="12" t="b">
        <v>0</v>
      </c>
      <c r="H110" t="str">
        <f>_xlfn.IFNA(_xlfn.XLOOKUP(Rezultati[[#This Row],[Vpisna]], Izpit2[Vpisna],Izpit2[Skupaj]), "")</f>
        <v/>
      </c>
      <c r="I110" t="str">
        <f>_xlfn.IFNA(_xlfn.XLOOKUP(Rezultati[[#This Row],[Vpisna]], Izpit2[Vpisna],Izpit2[Računalnik]), "")</f>
        <v/>
      </c>
      <c r="J110" s="12" t="b">
        <v>0</v>
      </c>
      <c r="K110" t="str">
        <f>_xlfn.IFNA(_xlfn.XLOOKUP(Rezultati[[#This Row],[Vpisna]], Izpit3[Vpisna],Izpit3[Skupaj]), "")</f>
        <v/>
      </c>
      <c r="L110" s="12" t="b">
        <v>0</v>
      </c>
      <c r="M110">
        <f>MAX(Rezultati[[#This Row],[1.izpit]],Rezultati[[#This Row],[2.izpit]],Rezultati[[#This Row],[3.izpit]])</f>
        <v>0</v>
      </c>
      <c r="N110"/>
      <c r="O110">
        <f>Rezultati[[#This Row],[DN]]+Rezultati[[#This Row],[Max]]+Rezultati[[#This Row],[Bonus]]</f>
        <v>0</v>
      </c>
      <c r="P110" t="str" cm="1">
        <f t="array" ref="P110">_xlfn.XLOOKUP(Rezultati[[#This Row],[Skupaj]],_xlfn.XLOOKUP(Rezultati[[#This Row],[Program]],Kriterij[[#Headers],[APF]:[PED]],Kriterij[[APF]:[PED]]), Kriterij[Ocena], "", -1, 2)</f>
        <v/>
      </c>
    </row>
    <row r="111" spans="2:16" x14ac:dyDescent="0.2">
      <c r="B111">
        <v>27000109</v>
      </c>
      <c r="C111" t="s">
        <v>11</v>
      </c>
      <c r="D111">
        <f>_xlfn.IFNA(_xlfn.XLOOKUP(Rezultati[[#This Row],[Vpisna]], DomaceNaloge[Vpisna],DomaceNaloge[Skupaj]), 0)</f>
        <v>0</v>
      </c>
      <c r="E111" t="str">
        <f>_xlfn.IFNA(_xlfn.XLOOKUP(Rezultati[[#This Row],[Vpisna]], Izpit1[Vpisna],Izpit1[Skupaj]), "")</f>
        <v/>
      </c>
      <c r="F111" t="str">
        <f>_xlfn.IFNA(_xlfn.XLOOKUP(Rezultati[[#This Row],[Vpisna]], Izpit1[Vpisna],Izpit1[Računalnik]), "")</f>
        <v/>
      </c>
      <c r="G111" s="12" t="b">
        <v>0</v>
      </c>
      <c r="H111" t="str">
        <f>_xlfn.IFNA(_xlfn.XLOOKUP(Rezultati[[#This Row],[Vpisna]], Izpit2[Vpisna],Izpit2[Skupaj]), "")</f>
        <v/>
      </c>
      <c r="I111" t="str">
        <f>_xlfn.IFNA(_xlfn.XLOOKUP(Rezultati[[#This Row],[Vpisna]], Izpit2[Vpisna],Izpit2[Računalnik]), "")</f>
        <v/>
      </c>
      <c r="J111" s="12" t="b">
        <v>0</v>
      </c>
      <c r="K111" t="str">
        <f>_xlfn.IFNA(_xlfn.XLOOKUP(Rezultati[[#This Row],[Vpisna]], Izpit3[Vpisna],Izpit3[Skupaj]), "")</f>
        <v/>
      </c>
      <c r="L111" s="12" t="b">
        <v>0</v>
      </c>
      <c r="M111">
        <f>MAX(Rezultati[[#This Row],[1.izpit]],Rezultati[[#This Row],[2.izpit]],Rezultati[[#This Row],[3.izpit]])</f>
        <v>0</v>
      </c>
      <c r="N111"/>
      <c r="O111">
        <f>Rezultati[[#This Row],[DN]]+Rezultati[[#This Row],[Max]]+Rezultati[[#This Row],[Bonus]]</f>
        <v>0</v>
      </c>
      <c r="P111" t="str" cm="1">
        <f t="array" ref="P111">_xlfn.XLOOKUP(Rezultati[[#This Row],[Skupaj]],_xlfn.XLOOKUP(Rezultati[[#This Row],[Program]],Kriterij[[#Headers],[APF]:[PED]],Kriterij[[APF]:[PED]]), Kriterij[Ocena], "", -1, 2)</f>
        <v/>
      </c>
    </row>
    <row r="112" spans="2:16" x14ac:dyDescent="0.2">
      <c r="B112">
        <v>27000110</v>
      </c>
      <c r="C112" t="s">
        <v>11</v>
      </c>
      <c r="D112">
        <f>_xlfn.IFNA(_xlfn.XLOOKUP(Rezultati[[#This Row],[Vpisna]], DomaceNaloge[Vpisna],DomaceNaloge[Skupaj]), 0)</f>
        <v>0</v>
      </c>
      <c r="E112" t="str">
        <f>_xlfn.IFNA(_xlfn.XLOOKUP(Rezultati[[#This Row],[Vpisna]], Izpit1[Vpisna],Izpit1[Skupaj]), "")</f>
        <v/>
      </c>
      <c r="F112" t="str">
        <f>_xlfn.IFNA(_xlfn.XLOOKUP(Rezultati[[#This Row],[Vpisna]], Izpit1[Vpisna],Izpit1[Računalnik]), "")</f>
        <v/>
      </c>
      <c r="G112" s="12" t="b">
        <v>0</v>
      </c>
      <c r="H112" t="str">
        <f>_xlfn.IFNA(_xlfn.XLOOKUP(Rezultati[[#This Row],[Vpisna]], Izpit2[Vpisna],Izpit2[Skupaj]), "")</f>
        <v/>
      </c>
      <c r="I112" t="str">
        <f>_xlfn.IFNA(_xlfn.XLOOKUP(Rezultati[[#This Row],[Vpisna]], Izpit2[Vpisna],Izpit2[Računalnik]), "")</f>
        <v/>
      </c>
      <c r="J112" s="12" t="b">
        <v>0</v>
      </c>
      <c r="K112" t="str">
        <f>_xlfn.IFNA(_xlfn.XLOOKUP(Rezultati[[#This Row],[Vpisna]], Izpit3[Vpisna],Izpit3[Skupaj]), "")</f>
        <v/>
      </c>
      <c r="L112" s="12" t="b">
        <v>0</v>
      </c>
      <c r="M112">
        <f>MAX(Rezultati[[#This Row],[1.izpit]],Rezultati[[#This Row],[2.izpit]],Rezultati[[#This Row],[3.izpit]])</f>
        <v>0</v>
      </c>
      <c r="N112"/>
      <c r="O112">
        <f>Rezultati[[#This Row],[DN]]+Rezultati[[#This Row],[Max]]+Rezultati[[#This Row],[Bonus]]</f>
        <v>0</v>
      </c>
      <c r="P112" t="str" cm="1">
        <f t="array" ref="P112">_xlfn.XLOOKUP(Rezultati[[#This Row],[Skupaj]],_xlfn.XLOOKUP(Rezultati[[#This Row],[Program]],Kriterij[[#Headers],[APF]:[PED]],Kriterij[[APF]:[PED]]), Kriterij[Ocena], "", -1, 2)</f>
        <v/>
      </c>
    </row>
    <row r="113" spans="2:16" x14ac:dyDescent="0.2">
      <c r="B113">
        <v>27000111</v>
      </c>
      <c r="C113" t="s">
        <v>11</v>
      </c>
      <c r="D113">
        <f>_xlfn.IFNA(_xlfn.XLOOKUP(Rezultati[[#This Row],[Vpisna]], DomaceNaloge[Vpisna],DomaceNaloge[Skupaj]), 0)</f>
        <v>9</v>
      </c>
      <c r="E113">
        <f>_xlfn.IFNA(_xlfn.XLOOKUP(Rezultati[[#This Row],[Vpisna]], Izpit1[Vpisna],Izpit1[Skupaj]), "")</f>
        <v>95</v>
      </c>
      <c r="F113" t="str">
        <f>_xlfn.IFNA(_xlfn.XLOOKUP(Rezultati[[#This Row],[Vpisna]], Izpit1[Vpisna],Izpit1[Računalnik]), "")</f>
        <v>svoj</v>
      </c>
      <c r="G113" s="12" t="b">
        <v>1</v>
      </c>
      <c r="H113" t="str">
        <f>_xlfn.IFNA(_xlfn.XLOOKUP(Rezultati[[#This Row],[Vpisna]], Izpit2[Vpisna],Izpit2[Skupaj]), "")</f>
        <v/>
      </c>
      <c r="I113" t="str">
        <f>_xlfn.IFNA(_xlfn.XLOOKUP(Rezultati[[#This Row],[Vpisna]], Izpit2[Vpisna],Izpit2[Računalnik]), "")</f>
        <v/>
      </c>
      <c r="J113" s="12" t="b">
        <v>0</v>
      </c>
      <c r="K113" t="str">
        <f>_xlfn.IFNA(_xlfn.XLOOKUP(Rezultati[[#This Row],[Vpisna]], Izpit3[Vpisna],Izpit3[Skupaj]), "")</f>
        <v/>
      </c>
      <c r="L113" s="12" t="b">
        <v>0</v>
      </c>
      <c r="M113">
        <f>MAX(Rezultati[[#This Row],[1.izpit]],Rezultati[[#This Row],[2.izpit]],Rezultati[[#This Row],[3.izpit]])</f>
        <v>95</v>
      </c>
      <c r="N113"/>
      <c r="O113">
        <f>Rezultati[[#This Row],[DN]]+Rezultati[[#This Row],[Max]]+Rezultati[[#This Row],[Bonus]]</f>
        <v>104</v>
      </c>
      <c r="P113" cm="1">
        <f t="array" ref="P113">_xlfn.XLOOKUP(Rezultati[[#This Row],[Skupaj]],_xlfn.XLOOKUP(Rezultati[[#This Row],[Program]],Kriterij[[#Headers],[APF]:[PED]],Kriterij[[APF]:[PED]]), Kriterij[Ocena], "", -1, 2)</f>
        <v>10</v>
      </c>
    </row>
    <row r="114" spans="2:16" x14ac:dyDescent="0.2">
      <c r="B114">
        <v>27000112</v>
      </c>
      <c r="C114" t="s">
        <v>11</v>
      </c>
      <c r="D114">
        <f>_xlfn.IFNA(_xlfn.XLOOKUP(Rezultati[[#This Row],[Vpisna]], DomaceNaloge[Vpisna],DomaceNaloge[Skupaj]), 0)</f>
        <v>0</v>
      </c>
      <c r="E114" t="str">
        <f>_xlfn.IFNA(_xlfn.XLOOKUP(Rezultati[[#This Row],[Vpisna]], Izpit1[Vpisna],Izpit1[Skupaj]), "")</f>
        <v/>
      </c>
      <c r="F114" t="str">
        <f>_xlfn.IFNA(_xlfn.XLOOKUP(Rezultati[[#This Row],[Vpisna]], Izpit1[Vpisna],Izpit1[Računalnik]), "")</f>
        <v/>
      </c>
      <c r="G114" s="12" t="b">
        <v>0</v>
      </c>
      <c r="H114" t="str">
        <f>_xlfn.IFNA(_xlfn.XLOOKUP(Rezultati[[#This Row],[Vpisna]], Izpit2[Vpisna],Izpit2[Skupaj]), "")</f>
        <v/>
      </c>
      <c r="I114" t="str">
        <f>_xlfn.IFNA(_xlfn.XLOOKUP(Rezultati[[#This Row],[Vpisna]], Izpit2[Vpisna],Izpit2[Računalnik]), "")</f>
        <v/>
      </c>
      <c r="J114" s="12" t="b">
        <v>0</v>
      </c>
      <c r="K114" t="str">
        <f>_xlfn.IFNA(_xlfn.XLOOKUP(Rezultati[[#This Row],[Vpisna]], Izpit3[Vpisna],Izpit3[Skupaj]), "")</f>
        <v/>
      </c>
      <c r="L114" s="12" t="b">
        <v>0</v>
      </c>
      <c r="M114">
        <f>MAX(Rezultati[[#This Row],[1.izpit]],Rezultati[[#This Row],[2.izpit]],Rezultati[[#This Row],[3.izpit]])</f>
        <v>0</v>
      </c>
      <c r="N114"/>
      <c r="O114">
        <f>Rezultati[[#This Row],[DN]]+Rezultati[[#This Row],[Max]]+Rezultati[[#This Row],[Bonus]]</f>
        <v>0</v>
      </c>
      <c r="P114" t="str" cm="1">
        <f t="array" ref="P114">_xlfn.XLOOKUP(Rezultati[[#This Row],[Skupaj]],_xlfn.XLOOKUP(Rezultati[[#This Row],[Program]],Kriterij[[#Headers],[APF]:[PED]],Kriterij[[APF]:[PED]]), Kriterij[Ocena], "", -1, 2)</f>
        <v/>
      </c>
    </row>
    <row r="115" spans="2:16" x14ac:dyDescent="0.2">
      <c r="B115">
        <v>27000113</v>
      </c>
      <c r="C115" t="s">
        <v>11</v>
      </c>
      <c r="D115">
        <f>_xlfn.IFNA(_xlfn.XLOOKUP(Rezultati[[#This Row],[Vpisna]], DomaceNaloge[Vpisna],DomaceNaloge[Skupaj]), 0)</f>
        <v>8</v>
      </c>
      <c r="E115">
        <f>_xlfn.IFNA(_xlfn.XLOOKUP(Rezultati[[#This Row],[Vpisna]], Izpit1[Vpisna],Izpit1[Skupaj]), "")</f>
        <v>60</v>
      </c>
      <c r="F115" t="str">
        <f>_xlfn.IFNA(_xlfn.XLOOKUP(Rezultati[[#This Row],[Vpisna]], Izpit1[Vpisna],Izpit1[Računalnik]), "")</f>
        <v>svoj</v>
      </c>
      <c r="G115" s="12" t="b">
        <v>1</v>
      </c>
      <c r="H115" t="str">
        <f>_xlfn.IFNA(_xlfn.XLOOKUP(Rezultati[[#This Row],[Vpisna]], Izpit2[Vpisna],Izpit2[Skupaj]), "")</f>
        <v/>
      </c>
      <c r="I115" t="str">
        <f>_xlfn.IFNA(_xlfn.XLOOKUP(Rezultati[[#This Row],[Vpisna]], Izpit2[Vpisna],Izpit2[Računalnik]), "")</f>
        <v/>
      </c>
      <c r="J115" s="12" t="b">
        <v>0</v>
      </c>
      <c r="K115" t="str">
        <f>_xlfn.IFNA(_xlfn.XLOOKUP(Rezultati[[#This Row],[Vpisna]], Izpit3[Vpisna],Izpit3[Skupaj]), "")</f>
        <v/>
      </c>
      <c r="L115" s="12" t="b">
        <v>0</v>
      </c>
      <c r="M115">
        <f>MAX(Rezultati[[#This Row],[1.izpit]],Rezultati[[#This Row],[2.izpit]],Rezultati[[#This Row],[3.izpit]])</f>
        <v>60</v>
      </c>
      <c r="N115"/>
      <c r="O115">
        <f>Rezultati[[#This Row],[DN]]+Rezultati[[#This Row],[Max]]+Rezultati[[#This Row],[Bonus]]</f>
        <v>68</v>
      </c>
      <c r="P115" cm="1">
        <f t="array" ref="P115">_xlfn.XLOOKUP(Rezultati[[#This Row],[Skupaj]],_xlfn.XLOOKUP(Rezultati[[#This Row],[Program]],Kriterij[[#Headers],[APF]:[PED]],Kriterij[[APF]:[PED]]), Kriterij[Ocena], "", -1, 2)</f>
        <v>7</v>
      </c>
    </row>
    <row r="116" spans="2:16" x14ac:dyDescent="0.2">
      <c r="B116">
        <v>27000114</v>
      </c>
      <c r="C116" t="s">
        <v>11</v>
      </c>
      <c r="D116">
        <f>_xlfn.IFNA(_xlfn.XLOOKUP(Rezultati[[#This Row],[Vpisna]], DomaceNaloge[Vpisna],DomaceNaloge[Skupaj]), 0)</f>
        <v>0</v>
      </c>
      <c r="E116" t="str">
        <f>_xlfn.IFNA(_xlfn.XLOOKUP(Rezultati[[#This Row],[Vpisna]], Izpit1[Vpisna],Izpit1[Skupaj]), "")</f>
        <v/>
      </c>
      <c r="F116" t="str">
        <f>_xlfn.IFNA(_xlfn.XLOOKUP(Rezultati[[#This Row],[Vpisna]], Izpit1[Vpisna],Izpit1[Računalnik]), "")</f>
        <v/>
      </c>
      <c r="G116" s="12" t="b">
        <v>0</v>
      </c>
      <c r="H116" t="str">
        <f>_xlfn.IFNA(_xlfn.XLOOKUP(Rezultati[[#This Row],[Vpisna]], Izpit2[Vpisna],Izpit2[Skupaj]), "")</f>
        <v/>
      </c>
      <c r="I116" t="str">
        <f>_xlfn.IFNA(_xlfn.XLOOKUP(Rezultati[[#This Row],[Vpisna]], Izpit2[Vpisna],Izpit2[Računalnik]), "")</f>
        <v/>
      </c>
      <c r="J116" s="12" t="b">
        <v>0</v>
      </c>
      <c r="K116" t="str">
        <f>_xlfn.IFNA(_xlfn.XLOOKUP(Rezultati[[#This Row],[Vpisna]], Izpit3[Vpisna],Izpit3[Skupaj]), "")</f>
        <v/>
      </c>
      <c r="L116" s="12" t="b">
        <v>0</v>
      </c>
      <c r="M116">
        <f>MAX(Rezultati[[#This Row],[1.izpit]],Rezultati[[#This Row],[2.izpit]],Rezultati[[#This Row],[3.izpit]])</f>
        <v>0</v>
      </c>
      <c r="N116"/>
      <c r="O116">
        <f>Rezultati[[#This Row],[DN]]+Rezultati[[#This Row],[Max]]+Rezultati[[#This Row],[Bonus]]</f>
        <v>0</v>
      </c>
      <c r="P116" t="str" cm="1">
        <f t="array" ref="P116">_xlfn.XLOOKUP(Rezultati[[#This Row],[Skupaj]],_xlfn.XLOOKUP(Rezultati[[#This Row],[Program]],Kriterij[[#Headers],[APF]:[PED]],Kriterij[[APF]:[PED]]), Kriterij[Ocena], "", -1, 2)</f>
        <v/>
      </c>
    </row>
    <row r="117" spans="2:16" x14ac:dyDescent="0.2">
      <c r="B117">
        <v>27000115</v>
      </c>
      <c r="C117" t="s">
        <v>11</v>
      </c>
      <c r="D117">
        <f>_xlfn.IFNA(_xlfn.XLOOKUP(Rezultati[[#This Row],[Vpisna]], DomaceNaloge[Vpisna],DomaceNaloge[Skupaj]), 0)</f>
        <v>9</v>
      </c>
      <c r="E117">
        <f>_xlfn.IFNA(_xlfn.XLOOKUP(Rezultati[[#This Row],[Vpisna]], Izpit1[Vpisna],Izpit1[Skupaj]), "")</f>
        <v>84</v>
      </c>
      <c r="F117" t="str">
        <f>_xlfn.IFNA(_xlfn.XLOOKUP(Rezultati[[#This Row],[Vpisna]], Izpit1[Vpisna],Izpit1[Računalnik]), "")</f>
        <v>svoj</v>
      </c>
      <c r="G117" s="12" t="b">
        <v>1</v>
      </c>
      <c r="H117" t="str">
        <f>_xlfn.IFNA(_xlfn.XLOOKUP(Rezultati[[#This Row],[Vpisna]], Izpit2[Vpisna],Izpit2[Skupaj]), "")</f>
        <v/>
      </c>
      <c r="I117" t="str">
        <f>_xlfn.IFNA(_xlfn.XLOOKUP(Rezultati[[#This Row],[Vpisna]], Izpit2[Vpisna],Izpit2[Računalnik]), "")</f>
        <v/>
      </c>
      <c r="J117" s="12" t="b">
        <v>0</v>
      </c>
      <c r="K117" t="str">
        <f>_xlfn.IFNA(_xlfn.XLOOKUP(Rezultati[[#This Row],[Vpisna]], Izpit3[Vpisna],Izpit3[Skupaj]), "")</f>
        <v/>
      </c>
      <c r="L117" s="12" t="b">
        <v>0</v>
      </c>
      <c r="M117">
        <f>MAX(Rezultati[[#This Row],[1.izpit]],Rezultati[[#This Row],[2.izpit]],Rezultati[[#This Row],[3.izpit]])</f>
        <v>84</v>
      </c>
      <c r="N117"/>
      <c r="O117">
        <f>Rezultati[[#This Row],[DN]]+Rezultati[[#This Row],[Max]]+Rezultati[[#This Row],[Bonus]]</f>
        <v>93</v>
      </c>
      <c r="P117" cm="1">
        <f t="array" ref="P117">_xlfn.XLOOKUP(Rezultati[[#This Row],[Skupaj]],_xlfn.XLOOKUP(Rezultati[[#This Row],[Program]],Kriterij[[#Headers],[APF]:[PED]],Kriterij[[APF]:[PED]]), Kriterij[Ocena], "", -1, 2)</f>
        <v>10</v>
      </c>
    </row>
    <row r="118" spans="2:16" x14ac:dyDescent="0.2">
      <c r="B118">
        <v>27000116</v>
      </c>
      <c r="C118" t="s">
        <v>11</v>
      </c>
      <c r="D118">
        <f>_xlfn.IFNA(_xlfn.XLOOKUP(Rezultati[[#This Row],[Vpisna]], DomaceNaloge[Vpisna],DomaceNaloge[Skupaj]), 0)</f>
        <v>0</v>
      </c>
      <c r="E118" t="str">
        <f>_xlfn.IFNA(_xlfn.XLOOKUP(Rezultati[[#This Row],[Vpisna]], Izpit1[Vpisna],Izpit1[Skupaj]), "")</f>
        <v/>
      </c>
      <c r="F118" t="str">
        <f>_xlfn.IFNA(_xlfn.XLOOKUP(Rezultati[[#This Row],[Vpisna]], Izpit1[Vpisna],Izpit1[Računalnik]), "")</f>
        <v/>
      </c>
      <c r="G118" s="12" t="b">
        <v>0</v>
      </c>
      <c r="H118" t="str">
        <f>_xlfn.IFNA(_xlfn.XLOOKUP(Rezultati[[#This Row],[Vpisna]], Izpit2[Vpisna],Izpit2[Skupaj]), "")</f>
        <v/>
      </c>
      <c r="I118" t="str">
        <f>_xlfn.IFNA(_xlfn.XLOOKUP(Rezultati[[#This Row],[Vpisna]], Izpit2[Vpisna],Izpit2[Računalnik]), "")</f>
        <v/>
      </c>
      <c r="J118" s="12" t="b">
        <v>0</v>
      </c>
      <c r="K118" t="str">
        <f>_xlfn.IFNA(_xlfn.XLOOKUP(Rezultati[[#This Row],[Vpisna]], Izpit3[Vpisna],Izpit3[Skupaj]), "")</f>
        <v/>
      </c>
      <c r="L118" s="12" t="b">
        <v>0</v>
      </c>
      <c r="M118">
        <f>MAX(Rezultati[[#This Row],[1.izpit]],Rezultati[[#This Row],[2.izpit]],Rezultati[[#This Row],[3.izpit]])</f>
        <v>0</v>
      </c>
      <c r="N118"/>
      <c r="O118">
        <f>Rezultati[[#This Row],[DN]]+Rezultati[[#This Row],[Max]]+Rezultati[[#This Row],[Bonus]]</f>
        <v>0</v>
      </c>
      <c r="P118" t="str" cm="1">
        <f t="array" ref="P118">_xlfn.XLOOKUP(Rezultati[[#This Row],[Skupaj]],_xlfn.XLOOKUP(Rezultati[[#This Row],[Program]],Kriterij[[#Headers],[APF]:[PED]],Kriterij[[APF]:[PED]]), Kriterij[Ocena], "", -1, 2)</f>
        <v/>
      </c>
    </row>
    <row r="119" spans="2:16" x14ac:dyDescent="0.2">
      <c r="B119">
        <v>27000117</v>
      </c>
      <c r="C119" t="s">
        <v>11</v>
      </c>
      <c r="D119">
        <f>_xlfn.IFNA(_xlfn.XLOOKUP(Rezultati[[#This Row],[Vpisna]], DomaceNaloge[Vpisna],DomaceNaloge[Skupaj]), 0)</f>
        <v>0</v>
      </c>
      <c r="E119" t="str">
        <f>_xlfn.IFNA(_xlfn.XLOOKUP(Rezultati[[#This Row],[Vpisna]], Izpit1[Vpisna],Izpit1[Skupaj]), "")</f>
        <v/>
      </c>
      <c r="F119" t="str">
        <f>_xlfn.IFNA(_xlfn.XLOOKUP(Rezultati[[#This Row],[Vpisna]], Izpit1[Vpisna],Izpit1[Računalnik]), "")</f>
        <v/>
      </c>
      <c r="G119" s="12" t="b">
        <v>0</v>
      </c>
      <c r="H119" t="str">
        <f>_xlfn.IFNA(_xlfn.XLOOKUP(Rezultati[[#This Row],[Vpisna]], Izpit2[Vpisna],Izpit2[Skupaj]), "")</f>
        <v/>
      </c>
      <c r="I119" t="str">
        <f>_xlfn.IFNA(_xlfn.XLOOKUP(Rezultati[[#This Row],[Vpisna]], Izpit2[Vpisna],Izpit2[Računalnik]), "")</f>
        <v/>
      </c>
      <c r="J119" s="12" t="b">
        <v>0</v>
      </c>
      <c r="K119" t="str">
        <f>_xlfn.IFNA(_xlfn.XLOOKUP(Rezultati[[#This Row],[Vpisna]], Izpit3[Vpisna],Izpit3[Skupaj]), "")</f>
        <v/>
      </c>
      <c r="L119" s="12" t="b">
        <v>0</v>
      </c>
      <c r="M119">
        <f>MAX(Rezultati[[#This Row],[1.izpit]],Rezultati[[#This Row],[2.izpit]],Rezultati[[#This Row],[3.izpit]])</f>
        <v>0</v>
      </c>
      <c r="N119"/>
      <c r="O119">
        <f>Rezultati[[#This Row],[DN]]+Rezultati[[#This Row],[Max]]+Rezultati[[#This Row],[Bonus]]</f>
        <v>0</v>
      </c>
      <c r="P119" t="str" cm="1">
        <f t="array" ref="P119">_xlfn.XLOOKUP(Rezultati[[#This Row],[Skupaj]],_xlfn.XLOOKUP(Rezultati[[#This Row],[Program]],Kriterij[[#Headers],[APF]:[PED]],Kriterij[[APF]:[PED]]), Kriterij[Ocena], "", -1, 2)</f>
        <v/>
      </c>
    </row>
    <row r="120" spans="2:16" x14ac:dyDescent="0.2">
      <c r="B120">
        <v>27000118</v>
      </c>
      <c r="C120" t="s">
        <v>11</v>
      </c>
      <c r="D120">
        <f>_xlfn.IFNA(_xlfn.XLOOKUP(Rezultati[[#This Row],[Vpisna]], DomaceNaloge[Vpisna],DomaceNaloge[Skupaj]), 0)</f>
        <v>9</v>
      </c>
      <c r="E120">
        <f>_xlfn.IFNA(_xlfn.XLOOKUP(Rezultati[[#This Row],[Vpisna]], Izpit1[Vpisna],Izpit1[Skupaj]), "")</f>
        <v>83</v>
      </c>
      <c r="F120" t="str">
        <f>_xlfn.IFNA(_xlfn.XLOOKUP(Rezultati[[#This Row],[Vpisna]], Izpit1[Vpisna],Izpit1[Računalnik]), "")</f>
        <v>svoj</v>
      </c>
      <c r="G120" s="12" t="b">
        <v>1</v>
      </c>
      <c r="H120" t="str">
        <f>_xlfn.IFNA(_xlfn.XLOOKUP(Rezultati[[#This Row],[Vpisna]], Izpit2[Vpisna],Izpit2[Skupaj]), "")</f>
        <v/>
      </c>
      <c r="I120" t="str">
        <f>_xlfn.IFNA(_xlfn.XLOOKUP(Rezultati[[#This Row],[Vpisna]], Izpit2[Vpisna],Izpit2[Računalnik]), "")</f>
        <v/>
      </c>
      <c r="J120" s="12" t="b">
        <v>0</v>
      </c>
      <c r="K120" t="str">
        <f>_xlfn.IFNA(_xlfn.XLOOKUP(Rezultati[[#This Row],[Vpisna]], Izpit3[Vpisna],Izpit3[Skupaj]), "")</f>
        <v/>
      </c>
      <c r="L120" s="12" t="b">
        <v>0</v>
      </c>
      <c r="M120">
        <f>MAX(Rezultati[[#This Row],[1.izpit]],Rezultati[[#This Row],[2.izpit]],Rezultati[[#This Row],[3.izpit]])</f>
        <v>83</v>
      </c>
      <c r="N120"/>
      <c r="O120">
        <f>Rezultati[[#This Row],[DN]]+Rezultati[[#This Row],[Max]]+Rezultati[[#This Row],[Bonus]]</f>
        <v>92</v>
      </c>
      <c r="P120" cm="1">
        <f t="array" ref="P120">_xlfn.XLOOKUP(Rezultati[[#This Row],[Skupaj]],_xlfn.XLOOKUP(Rezultati[[#This Row],[Program]],Kriterij[[#Headers],[APF]:[PED]],Kriterij[[APF]:[PED]]), Kriterij[Ocena], "", -1, 2)</f>
        <v>10</v>
      </c>
    </row>
    <row r="121" spans="2:16" x14ac:dyDescent="0.2">
      <c r="B121">
        <v>27000119</v>
      </c>
      <c r="C121" t="s">
        <v>11</v>
      </c>
      <c r="D121">
        <f>_xlfn.IFNA(_xlfn.XLOOKUP(Rezultati[[#This Row],[Vpisna]], DomaceNaloge[Vpisna],DomaceNaloge[Skupaj]), 0)</f>
        <v>0</v>
      </c>
      <c r="E121" t="str">
        <f>_xlfn.IFNA(_xlfn.XLOOKUP(Rezultati[[#This Row],[Vpisna]], Izpit1[Vpisna],Izpit1[Skupaj]), "")</f>
        <v/>
      </c>
      <c r="F121" t="str">
        <f>_xlfn.IFNA(_xlfn.XLOOKUP(Rezultati[[#This Row],[Vpisna]], Izpit1[Vpisna],Izpit1[Računalnik]), "")</f>
        <v/>
      </c>
      <c r="G121" s="12" t="b">
        <v>0</v>
      </c>
      <c r="H121" t="str">
        <f>_xlfn.IFNA(_xlfn.XLOOKUP(Rezultati[[#This Row],[Vpisna]], Izpit2[Vpisna],Izpit2[Skupaj]), "")</f>
        <v/>
      </c>
      <c r="I121" t="str">
        <f>_xlfn.IFNA(_xlfn.XLOOKUP(Rezultati[[#This Row],[Vpisna]], Izpit2[Vpisna],Izpit2[Računalnik]), "")</f>
        <v/>
      </c>
      <c r="J121" s="12" t="b">
        <v>0</v>
      </c>
      <c r="K121" t="str">
        <f>_xlfn.IFNA(_xlfn.XLOOKUP(Rezultati[[#This Row],[Vpisna]], Izpit3[Vpisna],Izpit3[Skupaj]), "")</f>
        <v/>
      </c>
      <c r="L121" s="12" t="b">
        <v>0</v>
      </c>
      <c r="M121">
        <f>MAX(Rezultati[[#This Row],[1.izpit]],Rezultati[[#This Row],[2.izpit]],Rezultati[[#This Row],[3.izpit]])</f>
        <v>0</v>
      </c>
      <c r="N121"/>
      <c r="O121">
        <f>Rezultati[[#This Row],[DN]]+Rezultati[[#This Row],[Max]]+Rezultati[[#This Row],[Bonus]]</f>
        <v>0</v>
      </c>
      <c r="P121" t="str" cm="1">
        <f t="array" ref="P121">_xlfn.XLOOKUP(Rezultati[[#This Row],[Skupaj]],_xlfn.XLOOKUP(Rezultati[[#This Row],[Program]],Kriterij[[#Headers],[APF]:[PED]],Kriterij[[APF]:[PED]]), Kriterij[Ocena], "", -1, 2)</f>
        <v/>
      </c>
    </row>
    <row r="122" spans="2:16" x14ac:dyDescent="0.2">
      <c r="B122">
        <v>27000120</v>
      </c>
      <c r="C122" t="s">
        <v>11</v>
      </c>
      <c r="D122">
        <f>_xlfn.IFNA(_xlfn.XLOOKUP(Rezultati[[#This Row],[Vpisna]], DomaceNaloge[Vpisna],DomaceNaloge[Skupaj]), 0)</f>
        <v>8</v>
      </c>
      <c r="E122">
        <f>_xlfn.IFNA(_xlfn.XLOOKUP(Rezultati[[#This Row],[Vpisna]], Izpit1[Vpisna],Izpit1[Skupaj]), "")</f>
        <v>94.5</v>
      </c>
      <c r="F122" t="str">
        <f>_xlfn.IFNA(_xlfn.XLOOKUP(Rezultati[[#This Row],[Vpisna]], Izpit1[Vpisna],Izpit1[Računalnik]), "")</f>
        <v>svoj</v>
      </c>
      <c r="G122" s="12" t="b">
        <v>1</v>
      </c>
      <c r="H122" t="str">
        <f>_xlfn.IFNA(_xlfn.XLOOKUP(Rezultati[[#This Row],[Vpisna]], Izpit2[Vpisna],Izpit2[Skupaj]), "")</f>
        <v/>
      </c>
      <c r="I122" t="str">
        <f>_xlfn.IFNA(_xlfn.XLOOKUP(Rezultati[[#This Row],[Vpisna]], Izpit2[Vpisna],Izpit2[Računalnik]), "")</f>
        <v/>
      </c>
      <c r="J122" s="12" t="b">
        <v>0</v>
      </c>
      <c r="K122" t="str">
        <f>_xlfn.IFNA(_xlfn.XLOOKUP(Rezultati[[#This Row],[Vpisna]], Izpit3[Vpisna],Izpit3[Skupaj]), "")</f>
        <v/>
      </c>
      <c r="L122" s="12" t="b">
        <v>0</v>
      </c>
      <c r="M122">
        <f>MAX(Rezultati[[#This Row],[1.izpit]],Rezultati[[#This Row],[2.izpit]],Rezultati[[#This Row],[3.izpit]])</f>
        <v>94.5</v>
      </c>
      <c r="N122"/>
      <c r="O122">
        <f>Rezultati[[#This Row],[DN]]+Rezultati[[#This Row],[Max]]+Rezultati[[#This Row],[Bonus]]</f>
        <v>102.5</v>
      </c>
      <c r="P122" cm="1">
        <f t="array" ref="P122">_xlfn.XLOOKUP(Rezultati[[#This Row],[Skupaj]],_xlfn.XLOOKUP(Rezultati[[#This Row],[Program]],Kriterij[[#Headers],[APF]:[PED]],Kriterij[[APF]:[PED]]), Kriterij[Ocena], "", -1, 2)</f>
        <v>10</v>
      </c>
    </row>
    <row r="123" spans="2:16" x14ac:dyDescent="0.2">
      <c r="B123">
        <v>27000121</v>
      </c>
      <c r="C123" t="s">
        <v>11</v>
      </c>
      <c r="D123">
        <f>_xlfn.IFNA(_xlfn.XLOOKUP(Rezultati[[#This Row],[Vpisna]], DomaceNaloge[Vpisna],DomaceNaloge[Skupaj]), 0)</f>
        <v>0</v>
      </c>
      <c r="E123" t="str">
        <f>_xlfn.IFNA(_xlfn.XLOOKUP(Rezultati[[#This Row],[Vpisna]], Izpit1[Vpisna],Izpit1[Skupaj]), "")</f>
        <v/>
      </c>
      <c r="F123" t="str">
        <f>_xlfn.IFNA(_xlfn.XLOOKUP(Rezultati[[#This Row],[Vpisna]], Izpit1[Vpisna],Izpit1[Računalnik]), "")</f>
        <v/>
      </c>
      <c r="G123" s="12" t="b">
        <v>0</v>
      </c>
      <c r="H123" t="str">
        <f>_xlfn.IFNA(_xlfn.XLOOKUP(Rezultati[[#This Row],[Vpisna]], Izpit2[Vpisna],Izpit2[Skupaj]), "")</f>
        <v/>
      </c>
      <c r="I123" t="str">
        <f>_xlfn.IFNA(_xlfn.XLOOKUP(Rezultati[[#This Row],[Vpisna]], Izpit2[Vpisna],Izpit2[Računalnik]), "")</f>
        <v/>
      </c>
      <c r="J123" s="12" t="b">
        <v>0</v>
      </c>
      <c r="K123" t="str">
        <f>_xlfn.IFNA(_xlfn.XLOOKUP(Rezultati[[#This Row],[Vpisna]], Izpit3[Vpisna],Izpit3[Skupaj]), "")</f>
        <v/>
      </c>
      <c r="L123" s="12" t="b">
        <v>0</v>
      </c>
      <c r="M123">
        <f>MAX(Rezultati[[#This Row],[1.izpit]],Rezultati[[#This Row],[2.izpit]],Rezultati[[#This Row],[3.izpit]])</f>
        <v>0</v>
      </c>
      <c r="N123"/>
      <c r="O123">
        <f>Rezultati[[#This Row],[DN]]+Rezultati[[#This Row],[Max]]+Rezultati[[#This Row],[Bonus]]</f>
        <v>0</v>
      </c>
      <c r="P123" t="str" cm="1">
        <f t="array" ref="P123">_xlfn.XLOOKUP(Rezultati[[#This Row],[Skupaj]],_xlfn.XLOOKUP(Rezultati[[#This Row],[Program]],Kriterij[[#Headers],[APF]:[PED]],Kriterij[[APF]:[PED]]), Kriterij[Ocena], "", -1, 2)</f>
        <v/>
      </c>
    </row>
    <row r="124" spans="2:16" x14ac:dyDescent="0.2">
      <c r="B124">
        <v>27000122</v>
      </c>
      <c r="C124" t="s">
        <v>11</v>
      </c>
      <c r="D124">
        <f>_xlfn.IFNA(_xlfn.XLOOKUP(Rezultati[[#This Row],[Vpisna]], DomaceNaloge[Vpisna],DomaceNaloge[Skupaj]), 0)</f>
        <v>0</v>
      </c>
      <c r="E124" t="str">
        <f>_xlfn.IFNA(_xlfn.XLOOKUP(Rezultati[[#This Row],[Vpisna]], Izpit1[Vpisna],Izpit1[Skupaj]), "")</f>
        <v/>
      </c>
      <c r="F124" t="str">
        <f>_xlfn.IFNA(_xlfn.XLOOKUP(Rezultati[[#This Row],[Vpisna]], Izpit1[Vpisna],Izpit1[Računalnik]), "")</f>
        <v/>
      </c>
      <c r="G124" s="12" t="b">
        <v>0</v>
      </c>
      <c r="H124" t="str">
        <f>_xlfn.IFNA(_xlfn.XLOOKUP(Rezultati[[#This Row],[Vpisna]], Izpit2[Vpisna],Izpit2[Skupaj]), "")</f>
        <v/>
      </c>
      <c r="I124" t="str">
        <f>_xlfn.IFNA(_xlfn.XLOOKUP(Rezultati[[#This Row],[Vpisna]], Izpit2[Vpisna],Izpit2[Računalnik]), "")</f>
        <v/>
      </c>
      <c r="J124" s="12" t="b">
        <v>0</v>
      </c>
      <c r="K124" t="str">
        <f>_xlfn.IFNA(_xlfn.XLOOKUP(Rezultati[[#This Row],[Vpisna]], Izpit3[Vpisna],Izpit3[Skupaj]), "")</f>
        <v/>
      </c>
      <c r="L124" s="12" t="b">
        <v>0</v>
      </c>
      <c r="M124">
        <f>MAX(Rezultati[[#This Row],[1.izpit]],Rezultati[[#This Row],[2.izpit]],Rezultati[[#This Row],[3.izpit]])</f>
        <v>0</v>
      </c>
      <c r="N124"/>
      <c r="O124">
        <f>Rezultati[[#This Row],[DN]]+Rezultati[[#This Row],[Max]]+Rezultati[[#This Row],[Bonus]]</f>
        <v>0</v>
      </c>
      <c r="P124" t="str" cm="1">
        <f t="array" ref="P124">_xlfn.XLOOKUP(Rezultati[[#This Row],[Skupaj]],_xlfn.XLOOKUP(Rezultati[[#This Row],[Program]],Kriterij[[#Headers],[APF]:[PED]],Kriterij[[APF]:[PED]]), Kriterij[Ocena], "", -1, 2)</f>
        <v/>
      </c>
    </row>
    <row r="125" spans="2:16" x14ac:dyDescent="0.2">
      <c r="B125">
        <v>27000123</v>
      </c>
      <c r="C125" t="s">
        <v>11</v>
      </c>
      <c r="D125">
        <f>_xlfn.IFNA(_xlfn.XLOOKUP(Rezultati[[#This Row],[Vpisna]], DomaceNaloge[Vpisna],DomaceNaloge[Skupaj]), 0)</f>
        <v>0</v>
      </c>
      <c r="E125" t="str">
        <f>_xlfn.IFNA(_xlfn.XLOOKUP(Rezultati[[#This Row],[Vpisna]], Izpit1[Vpisna],Izpit1[Skupaj]), "")</f>
        <v/>
      </c>
      <c r="F125" t="str">
        <f>_xlfn.IFNA(_xlfn.XLOOKUP(Rezultati[[#This Row],[Vpisna]], Izpit1[Vpisna],Izpit1[Računalnik]), "")</f>
        <v/>
      </c>
      <c r="G125" s="12" t="b">
        <v>0</v>
      </c>
      <c r="H125" t="str">
        <f>_xlfn.IFNA(_xlfn.XLOOKUP(Rezultati[[#This Row],[Vpisna]], Izpit2[Vpisna],Izpit2[Skupaj]), "")</f>
        <v/>
      </c>
      <c r="I125" t="str">
        <f>_xlfn.IFNA(_xlfn.XLOOKUP(Rezultati[[#This Row],[Vpisna]], Izpit2[Vpisna],Izpit2[Računalnik]), "")</f>
        <v/>
      </c>
      <c r="J125" s="12" t="b">
        <v>0</v>
      </c>
      <c r="K125" t="str">
        <f>_xlfn.IFNA(_xlfn.XLOOKUP(Rezultati[[#This Row],[Vpisna]], Izpit3[Vpisna],Izpit3[Skupaj]), "")</f>
        <v/>
      </c>
      <c r="L125" s="12" t="b">
        <v>0</v>
      </c>
      <c r="M125">
        <f>MAX(Rezultati[[#This Row],[1.izpit]],Rezultati[[#This Row],[2.izpit]],Rezultati[[#This Row],[3.izpit]])</f>
        <v>0</v>
      </c>
      <c r="N125"/>
      <c r="O125">
        <f>Rezultati[[#This Row],[DN]]+Rezultati[[#This Row],[Max]]+Rezultati[[#This Row],[Bonus]]</f>
        <v>0</v>
      </c>
      <c r="P125" t="str" cm="1">
        <f t="array" ref="P125">_xlfn.XLOOKUP(Rezultati[[#This Row],[Skupaj]],_xlfn.XLOOKUP(Rezultati[[#This Row],[Program]],Kriterij[[#Headers],[APF]:[PED]],Kriterij[[APF]:[PED]]), Kriterij[Ocena], "", -1, 2)</f>
        <v/>
      </c>
    </row>
    <row r="126" spans="2:16" x14ac:dyDescent="0.2">
      <c r="B126">
        <v>27000124</v>
      </c>
      <c r="C126" t="s">
        <v>11</v>
      </c>
      <c r="D126">
        <f>_xlfn.IFNA(_xlfn.XLOOKUP(Rezultati[[#This Row],[Vpisna]], DomaceNaloge[Vpisna],DomaceNaloge[Skupaj]), 0)</f>
        <v>9</v>
      </c>
      <c r="E126">
        <f>_xlfn.IFNA(_xlfn.XLOOKUP(Rezultati[[#This Row],[Vpisna]], Izpit1[Vpisna],Izpit1[Skupaj]), "")</f>
        <v>91.5</v>
      </c>
      <c r="F126" t="str">
        <f>_xlfn.IFNA(_xlfn.XLOOKUP(Rezultati[[#This Row],[Vpisna]], Izpit1[Vpisna],Izpit1[Računalnik]), "")</f>
        <v>svoj</v>
      </c>
      <c r="G126" s="12" t="b">
        <v>1</v>
      </c>
      <c r="H126" t="str">
        <f>_xlfn.IFNA(_xlfn.XLOOKUP(Rezultati[[#This Row],[Vpisna]], Izpit2[Vpisna],Izpit2[Skupaj]), "")</f>
        <v/>
      </c>
      <c r="I126" t="str">
        <f>_xlfn.IFNA(_xlfn.XLOOKUP(Rezultati[[#This Row],[Vpisna]], Izpit2[Vpisna],Izpit2[Računalnik]), "")</f>
        <v/>
      </c>
      <c r="J126" s="12" t="b">
        <v>0</v>
      </c>
      <c r="K126" t="str">
        <f>_xlfn.IFNA(_xlfn.XLOOKUP(Rezultati[[#This Row],[Vpisna]], Izpit3[Vpisna],Izpit3[Skupaj]), "")</f>
        <v/>
      </c>
      <c r="L126" s="12" t="b">
        <v>0</v>
      </c>
      <c r="M126">
        <f>MAX(Rezultati[[#This Row],[1.izpit]],Rezultati[[#This Row],[2.izpit]],Rezultati[[#This Row],[3.izpit]])</f>
        <v>91.5</v>
      </c>
      <c r="N126"/>
      <c r="O126">
        <f>Rezultati[[#This Row],[DN]]+Rezultati[[#This Row],[Max]]+Rezultati[[#This Row],[Bonus]]</f>
        <v>100.5</v>
      </c>
      <c r="P126" cm="1">
        <f t="array" ref="P126">_xlfn.XLOOKUP(Rezultati[[#This Row],[Skupaj]],_xlfn.XLOOKUP(Rezultati[[#This Row],[Program]],Kriterij[[#Headers],[APF]:[PED]],Kriterij[[APF]:[PED]]), Kriterij[Ocena], "", -1, 2)</f>
        <v>10</v>
      </c>
    </row>
    <row r="127" spans="2:16" x14ac:dyDescent="0.2">
      <c r="B127">
        <v>27000125</v>
      </c>
      <c r="C127" t="s">
        <v>11</v>
      </c>
      <c r="D127">
        <f>_xlfn.IFNA(_xlfn.XLOOKUP(Rezultati[[#This Row],[Vpisna]], DomaceNaloge[Vpisna],DomaceNaloge[Skupaj]), 0)</f>
        <v>7</v>
      </c>
      <c r="E127">
        <f>_xlfn.IFNA(_xlfn.XLOOKUP(Rezultati[[#This Row],[Vpisna]], Izpit1[Vpisna],Izpit1[Skupaj]), "")</f>
        <v>71.5</v>
      </c>
      <c r="F127" t="str">
        <f>_xlfn.IFNA(_xlfn.XLOOKUP(Rezultati[[#This Row],[Vpisna]], Izpit1[Vpisna],Izpit1[Računalnik]), "")</f>
        <v>šolski</v>
      </c>
      <c r="G127" s="12" t="b">
        <v>1</v>
      </c>
      <c r="H127" t="str">
        <f>_xlfn.IFNA(_xlfn.XLOOKUP(Rezultati[[#This Row],[Vpisna]], Izpit2[Vpisna],Izpit2[Skupaj]), "")</f>
        <v/>
      </c>
      <c r="I127" t="str">
        <f>_xlfn.IFNA(_xlfn.XLOOKUP(Rezultati[[#This Row],[Vpisna]], Izpit2[Vpisna],Izpit2[Računalnik]), "")</f>
        <v/>
      </c>
      <c r="J127" s="12" t="b">
        <v>0</v>
      </c>
      <c r="K127" t="str">
        <f>_xlfn.IFNA(_xlfn.XLOOKUP(Rezultati[[#This Row],[Vpisna]], Izpit3[Vpisna],Izpit3[Skupaj]), "")</f>
        <v/>
      </c>
      <c r="L127" s="12" t="b">
        <v>0</v>
      </c>
      <c r="M127">
        <f>MAX(Rezultati[[#This Row],[1.izpit]],Rezultati[[#This Row],[2.izpit]],Rezultati[[#This Row],[3.izpit]])</f>
        <v>71.5</v>
      </c>
      <c r="N127"/>
      <c r="O127">
        <f>Rezultati[[#This Row],[DN]]+Rezultati[[#This Row],[Max]]+Rezultati[[#This Row],[Bonus]]</f>
        <v>78.5</v>
      </c>
      <c r="P127" cm="1">
        <f t="array" ref="P127">_xlfn.XLOOKUP(Rezultati[[#This Row],[Skupaj]],_xlfn.XLOOKUP(Rezultati[[#This Row],[Program]],Kriterij[[#Headers],[APF]:[PED]],Kriterij[[APF]:[PED]]), Kriterij[Ocena], "", -1, 2)</f>
        <v>8</v>
      </c>
    </row>
    <row r="128" spans="2:16" x14ac:dyDescent="0.2">
      <c r="B128">
        <v>27000126</v>
      </c>
      <c r="C128" t="s">
        <v>11</v>
      </c>
      <c r="D128">
        <f>_xlfn.IFNA(_xlfn.XLOOKUP(Rezultati[[#This Row],[Vpisna]], DomaceNaloge[Vpisna],DomaceNaloge[Skupaj]), 0)</f>
        <v>10</v>
      </c>
      <c r="E128">
        <f>_xlfn.IFNA(_xlfn.XLOOKUP(Rezultati[[#This Row],[Vpisna]], Izpit1[Vpisna],Izpit1[Skupaj]), "")</f>
        <v>90.5</v>
      </c>
      <c r="F128" t="str">
        <f>_xlfn.IFNA(_xlfn.XLOOKUP(Rezultati[[#This Row],[Vpisna]], Izpit1[Vpisna],Izpit1[Računalnik]), "")</f>
        <v>svoj</v>
      </c>
      <c r="G128" s="12" t="b">
        <v>1</v>
      </c>
      <c r="H128" t="str">
        <f>_xlfn.IFNA(_xlfn.XLOOKUP(Rezultati[[#This Row],[Vpisna]], Izpit2[Vpisna],Izpit2[Skupaj]), "")</f>
        <v/>
      </c>
      <c r="I128" t="str">
        <f>_xlfn.IFNA(_xlfn.XLOOKUP(Rezultati[[#This Row],[Vpisna]], Izpit2[Vpisna],Izpit2[Računalnik]), "")</f>
        <v/>
      </c>
      <c r="J128" s="12" t="b">
        <v>0</v>
      </c>
      <c r="K128" t="str">
        <f>_xlfn.IFNA(_xlfn.XLOOKUP(Rezultati[[#This Row],[Vpisna]], Izpit3[Vpisna],Izpit3[Skupaj]), "")</f>
        <v/>
      </c>
      <c r="L128" s="12" t="b">
        <v>0</v>
      </c>
      <c r="M128">
        <f>MAX(Rezultati[[#This Row],[1.izpit]],Rezultati[[#This Row],[2.izpit]],Rezultati[[#This Row],[3.izpit]])</f>
        <v>90.5</v>
      </c>
      <c r="N128"/>
      <c r="O128">
        <f>Rezultati[[#This Row],[DN]]+Rezultati[[#This Row],[Max]]+Rezultati[[#This Row],[Bonus]]</f>
        <v>100.5</v>
      </c>
      <c r="P128" cm="1">
        <f t="array" ref="P128">_xlfn.XLOOKUP(Rezultati[[#This Row],[Skupaj]],_xlfn.XLOOKUP(Rezultati[[#This Row],[Program]],Kriterij[[#Headers],[APF]:[PED]],Kriterij[[APF]:[PED]]), Kriterij[Ocena], "", -1, 2)</f>
        <v>10</v>
      </c>
    </row>
    <row r="129" spans="2:16" x14ac:dyDescent="0.2">
      <c r="B129">
        <v>27000127</v>
      </c>
      <c r="C129" t="s">
        <v>11</v>
      </c>
      <c r="D129">
        <f>_xlfn.IFNA(_xlfn.XLOOKUP(Rezultati[[#This Row],[Vpisna]], DomaceNaloge[Vpisna],DomaceNaloge[Skupaj]), 0)</f>
        <v>7</v>
      </c>
      <c r="E129">
        <f>_xlfn.IFNA(_xlfn.XLOOKUP(Rezultati[[#This Row],[Vpisna]], Izpit1[Vpisna],Izpit1[Skupaj]), "")</f>
        <v>91.5</v>
      </c>
      <c r="F129" t="str">
        <f>_xlfn.IFNA(_xlfn.XLOOKUP(Rezultati[[#This Row],[Vpisna]], Izpit1[Vpisna],Izpit1[Računalnik]), "")</f>
        <v>šolski</v>
      </c>
      <c r="G129" s="12" t="b">
        <v>1</v>
      </c>
      <c r="H129" t="str">
        <f>_xlfn.IFNA(_xlfn.XLOOKUP(Rezultati[[#This Row],[Vpisna]], Izpit2[Vpisna],Izpit2[Skupaj]), "")</f>
        <v/>
      </c>
      <c r="I129" t="str">
        <f>_xlfn.IFNA(_xlfn.XLOOKUP(Rezultati[[#This Row],[Vpisna]], Izpit2[Vpisna],Izpit2[Računalnik]), "")</f>
        <v/>
      </c>
      <c r="J129" s="12" t="b">
        <v>0</v>
      </c>
      <c r="K129" t="str">
        <f>_xlfn.IFNA(_xlfn.XLOOKUP(Rezultati[[#This Row],[Vpisna]], Izpit3[Vpisna],Izpit3[Skupaj]), "")</f>
        <v/>
      </c>
      <c r="L129" s="12" t="b">
        <v>0</v>
      </c>
      <c r="M129">
        <f>MAX(Rezultati[[#This Row],[1.izpit]],Rezultati[[#This Row],[2.izpit]],Rezultati[[#This Row],[3.izpit]])</f>
        <v>91.5</v>
      </c>
      <c r="N129"/>
      <c r="O129">
        <f>Rezultati[[#This Row],[DN]]+Rezultati[[#This Row],[Max]]+Rezultati[[#This Row],[Bonus]]</f>
        <v>98.5</v>
      </c>
      <c r="P129" cm="1">
        <f t="array" ref="P129">_xlfn.XLOOKUP(Rezultati[[#This Row],[Skupaj]],_xlfn.XLOOKUP(Rezultati[[#This Row],[Program]],Kriterij[[#Headers],[APF]:[PED]],Kriterij[[APF]:[PED]]), Kriterij[Ocena], "", -1, 2)</f>
        <v>10</v>
      </c>
    </row>
    <row r="130" spans="2:16" x14ac:dyDescent="0.2">
      <c r="B130">
        <v>27000128</v>
      </c>
      <c r="C130" t="s">
        <v>11</v>
      </c>
      <c r="D130">
        <f>_xlfn.IFNA(_xlfn.XLOOKUP(Rezultati[[#This Row],[Vpisna]], DomaceNaloge[Vpisna],DomaceNaloge[Skupaj]), 0)</f>
        <v>9</v>
      </c>
      <c r="E130">
        <f>_xlfn.IFNA(_xlfn.XLOOKUP(Rezultati[[#This Row],[Vpisna]], Izpit1[Vpisna],Izpit1[Skupaj]), "")</f>
        <v>90</v>
      </c>
      <c r="F130" t="str">
        <f>_xlfn.IFNA(_xlfn.XLOOKUP(Rezultati[[#This Row],[Vpisna]], Izpit1[Vpisna],Izpit1[Računalnik]), "")</f>
        <v>šolski</v>
      </c>
      <c r="G130" s="12" t="b">
        <v>1</v>
      </c>
      <c r="H130" t="str">
        <f>_xlfn.IFNA(_xlfn.XLOOKUP(Rezultati[[#This Row],[Vpisna]], Izpit2[Vpisna],Izpit2[Skupaj]), "")</f>
        <v/>
      </c>
      <c r="I130" t="str">
        <f>_xlfn.IFNA(_xlfn.XLOOKUP(Rezultati[[#This Row],[Vpisna]], Izpit2[Vpisna],Izpit2[Računalnik]), "")</f>
        <v/>
      </c>
      <c r="J130" s="12" t="b">
        <v>0</v>
      </c>
      <c r="K130" t="str">
        <f>_xlfn.IFNA(_xlfn.XLOOKUP(Rezultati[[#This Row],[Vpisna]], Izpit3[Vpisna],Izpit3[Skupaj]), "")</f>
        <v/>
      </c>
      <c r="L130" s="12" t="b">
        <v>0</v>
      </c>
      <c r="M130">
        <f>MAX(Rezultati[[#This Row],[1.izpit]],Rezultati[[#This Row],[2.izpit]],Rezultati[[#This Row],[3.izpit]])</f>
        <v>90</v>
      </c>
      <c r="N130"/>
      <c r="O130">
        <f>Rezultati[[#This Row],[DN]]+Rezultati[[#This Row],[Max]]+Rezultati[[#This Row],[Bonus]]</f>
        <v>99</v>
      </c>
      <c r="P130" cm="1">
        <f t="array" ref="P130">_xlfn.XLOOKUP(Rezultati[[#This Row],[Skupaj]],_xlfn.XLOOKUP(Rezultati[[#This Row],[Program]],Kriterij[[#Headers],[APF]:[PED]],Kriterij[[APF]:[PED]]), Kriterij[Ocena], "", -1, 2)</f>
        <v>10</v>
      </c>
    </row>
    <row r="131" spans="2:16" x14ac:dyDescent="0.2">
      <c r="B131">
        <v>27000129</v>
      </c>
      <c r="C131" t="s">
        <v>11</v>
      </c>
      <c r="D131">
        <f>_xlfn.IFNA(_xlfn.XLOOKUP(Rezultati[[#This Row],[Vpisna]], DomaceNaloge[Vpisna],DomaceNaloge[Skupaj]), 0)</f>
        <v>0</v>
      </c>
      <c r="E131" t="str">
        <f>_xlfn.IFNA(_xlfn.XLOOKUP(Rezultati[[#This Row],[Vpisna]], Izpit1[Vpisna],Izpit1[Skupaj]), "")</f>
        <v/>
      </c>
      <c r="F131" t="str">
        <f>_xlfn.IFNA(_xlfn.XLOOKUP(Rezultati[[#This Row],[Vpisna]], Izpit1[Vpisna],Izpit1[Računalnik]), "")</f>
        <v/>
      </c>
      <c r="G131" s="12" t="b">
        <v>0</v>
      </c>
      <c r="H131" t="str">
        <f>_xlfn.IFNA(_xlfn.XLOOKUP(Rezultati[[#This Row],[Vpisna]], Izpit2[Vpisna],Izpit2[Skupaj]), "")</f>
        <v/>
      </c>
      <c r="I131" t="str">
        <f>_xlfn.IFNA(_xlfn.XLOOKUP(Rezultati[[#This Row],[Vpisna]], Izpit2[Vpisna],Izpit2[Računalnik]), "")</f>
        <v/>
      </c>
      <c r="J131" s="12" t="b">
        <v>0</v>
      </c>
      <c r="K131" t="str">
        <f>_xlfn.IFNA(_xlfn.XLOOKUP(Rezultati[[#This Row],[Vpisna]], Izpit3[Vpisna],Izpit3[Skupaj]), "")</f>
        <v/>
      </c>
      <c r="L131" s="12" t="b">
        <v>0</v>
      </c>
      <c r="M131">
        <f>MAX(Rezultati[[#This Row],[1.izpit]],Rezultati[[#This Row],[2.izpit]],Rezultati[[#This Row],[3.izpit]])</f>
        <v>0</v>
      </c>
      <c r="N131"/>
      <c r="O131">
        <f>Rezultati[[#This Row],[DN]]+Rezultati[[#This Row],[Max]]+Rezultati[[#This Row],[Bonus]]</f>
        <v>0</v>
      </c>
      <c r="P131" t="str" cm="1">
        <f t="array" ref="P131">_xlfn.XLOOKUP(Rezultati[[#This Row],[Skupaj]],_xlfn.XLOOKUP(Rezultati[[#This Row],[Program]],Kriterij[[#Headers],[APF]:[PED]],Kriterij[[APF]:[PED]]), Kriterij[Ocena], "", -1, 2)</f>
        <v/>
      </c>
    </row>
    <row r="132" spans="2:16" x14ac:dyDescent="0.2">
      <c r="B132">
        <v>27000130</v>
      </c>
      <c r="C132" t="s">
        <v>11</v>
      </c>
      <c r="D132">
        <f>_xlfn.IFNA(_xlfn.XLOOKUP(Rezultati[[#This Row],[Vpisna]], DomaceNaloge[Vpisna],DomaceNaloge[Skupaj]), 0)</f>
        <v>8</v>
      </c>
      <c r="E132" t="str">
        <f>_xlfn.IFNA(_xlfn.XLOOKUP(Rezultati[[#This Row],[Vpisna]], Izpit1[Vpisna],Izpit1[Skupaj]), "")</f>
        <v/>
      </c>
      <c r="F132" t="str">
        <f>_xlfn.IFNA(_xlfn.XLOOKUP(Rezultati[[#This Row],[Vpisna]], Izpit1[Vpisna],Izpit1[Računalnik]), "")</f>
        <v/>
      </c>
      <c r="G132" s="12" t="b">
        <v>0</v>
      </c>
      <c r="H132" t="str">
        <f>_xlfn.IFNA(_xlfn.XLOOKUP(Rezultati[[#This Row],[Vpisna]], Izpit2[Vpisna],Izpit2[Skupaj]), "")</f>
        <v/>
      </c>
      <c r="I132" t="str">
        <f>_xlfn.IFNA(_xlfn.XLOOKUP(Rezultati[[#This Row],[Vpisna]], Izpit2[Vpisna],Izpit2[Računalnik]), "")</f>
        <v/>
      </c>
      <c r="J132" s="12" t="b">
        <v>0</v>
      </c>
      <c r="K132" t="str">
        <f>_xlfn.IFNA(_xlfn.XLOOKUP(Rezultati[[#This Row],[Vpisna]], Izpit3[Vpisna],Izpit3[Skupaj]), "")</f>
        <v/>
      </c>
      <c r="L132" s="12" t="b">
        <v>0</v>
      </c>
      <c r="M132">
        <f>MAX(Rezultati[[#This Row],[1.izpit]],Rezultati[[#This Row],[2.izpit]],Rezultati[[#This Row],[3.izpit]])</f>
        <v>0</v>
      </c>
      <c r="N132"/>
      <c r="O132">
        <f>Rezultati[[#This Row],[DN]]+Rezultati[[#This Row],[Max]]+Rezultati[[#This Row],[Bonus]]</f>
        <v>8</v>
      </c>
      <c r="P132" cm="1">
        <f t="array" ref="P132">_xlfn.XLOOKUP(Rezultati[[#This Row],[Skupaj]],_xlfn.XLOOKUP(Rezultati[[#This Row],[Program]],Kriterij[[#Headers],[APF]:[PED]],Kriterij[[APF]:[PED]]), Kriterij[Ocena], "", -1, 2)</f>
        <v>5</v>
      </c>
    </row>
    <row r="133" spans="2:16" x14ac:dyDescent="0.2">
      <c r="B133">
        <v>27000131</v>
      </c>
      <c r="C133" t="s">
        <v>11</v>
      </c>
      <c r="D133">
        <f>_xlfn.IFNA(_xlfn.XLOOKUP(Rezultati[[#This Row],[Vpisna]], DomaceNaloge[Vpisna],DomaceNaloge[Skupaj]), 0)</f>
        <v>0</v>
      </c>
      <c r="E133" t="str">
        <f>_xlfn.IFNA(_xlfn.XLOOKUP(Rezultati[[#This Row],[Vpisna]], Izpit1[Vpisna],Izpit1[Skupaj]), "")</f>
        <v/>
      </c>
      <c r="F133" t="str">
        <f>_xlfn.IFNA(_xlfn.XLOOKUP(Rezultati[[#This Row],[Vpisna]], Izpit1[Vpisna],Izpit1[Računalnik]), "")</f>
        <v/>
      </c>
      <c r="G133" s="12" t="b">
        <v>0</v>
      </c>
      <c r="H133" t="str">
        <f>_xlfn.IFNA(_xlfn.XLOOKUP(Rezultati[[#This Row],[Vpisna]], Izpit2[Vpisna],Izpit2[Skupaj]), "")</f>
        <v/>
      </c>
      <c r="I133" t="str">
        <f>_xlfn.IFNA(_xlfn.XLOOKUP(Rezultati[[#This Row],[Vpisna]], Izpit2[Vpisna],Izpit2[Računalnik]), "")</f>
        <v/>
      </c>
      <c r="J133" s="12" t="b">
        <v>0</v>
      </c>
      <c r="K133" t="str">
        <f>_xlfn.IFNA(_xlfn.XLOOKUP(Rezultati[[#This Row],[Vpisna]], Izpit3[Vpisna],Izpit3[Skupaj]), "")</f>
        <v/>
      </c>
      <c r="L133" s="12" t="b">
        <v>0</v>
      </c>
      <c r="M133">
        <f>MAX(Rezultati[[#This Row],[1.izpit]],Rezultati[[#This Row],[2.izpit]],Rezultati[[#This Row],[3.izpit]])</f>
        <v>0</v>
      </c>
      <c r="N133"/>
      <c r="O133">
        <f>Rezultati[[#This Row],[DN]]+Rezultati[[#This Row],[Max]]+Rezultati[[#This Row],[Bonus]]</f>
        <v>0</v>
      </c>
      <c r="P133" t="str" cm="1">
        <f t="array" ref="P133">_xlfn.XLOOKUP(Rezultati[[#This Row],[Skupaj]],_xlfn.XLOOKUP(Rezultati[[#This Row],[Program]],Kriterij[[#Headers],[APF]:[PED]],Kriterij[[APF]:[PED]]), Kriterij[Ocena], "", -1, 2)</f>
        <v/>
      </c>
    </row>
    <row r="134" spans="2:16" x14ac:dyDescent="0.2">
      <c r="B134">
        <v>27000132</v>
      </c>
      <c r="C134" t="s">
        <v>11</v>
      </c>
      <c r="D134">
        <f>_xlfn.IFNA(_xlfn.XLOOKUP(Rezultati[[#This Row],[Vpisna]], DomaceNaloge[Vpisna],DomaceNaloge[Skupaj]), 0)</f>
        <v>9</v>
      </c>
      <c r="E134">
        <f>_xlfn.IFNA(_xlfn.XLOOKUP(Rezultati[[#This Row],[Vpisna]], Izpit1[Vpisna],Izpit1[Skupaj]), "")</f>
        <v>98.5</v>
      </c>
      <c r="F134" t="str">
        <f>_xlfn.IFNA(_xlfn.XLOOKUP(Rezultati[[#This Row],[Vpisna]], Izpit1[Vpisna],Izpit1[Računalnik]), "")</f>
        <v>svoj</v>
      </c>
      <c r="G134" s="12" t="b">
        <v>1</v>
      </c>
      <c r="H134" t="str">
        <f>_xlfn.IFNA(_xlfn.XLOOKUP(Rezultati[[#This Row],[Vpisna]], Izpit2[Vpisna],Izpit2[Skupaj]), "")</f>
        <v/>
      </c>
      <c r="I134" t="str">
        <f>_xlfn.IFNA(_xlfn.XLOOKUP(Rezultati[[#This Row],[Vpisna]], Izpit2[Vpisna],Izpit2[Računalnik]), "")</f>
        <v/>
      </c>
      <c r="J134" s="12" t="b">
        <v>0</v>
      </c>
      <c r="K134" t="str">
        <f>_xlfn.IFNA(_xlfn.XLOOKUP(Rezultati[[#This Row],[Vpisna]], Izpit3[Vpisna],Izpit3[Skupaj]), "")</f>
        <v/>
      </c>
      <c r="L134" s="12" t="b">
        <v>0</v>
      </c>
      <c r="M134">
        <f>MAX(Rezultati[[#This Row],[1.izpit]],Rezultati[[#This Row],[2.izpit]],Rezultati[[#This Row],[3.izpit]])</f>
        <v>98.5</v>
      </c>
      <c r="N134"/>
      <c r="O134">
        <f>Rezultati[[#This Row],[DN]]+Rezultati[[#This Row],[Max]]+Rezultati[[#This Row],[Bonus]]</f>
        <v>107.5</v>
      </c>
      <c r="P134" cm="1">
        <f t="array" ref="P134">_xlfn.XLOOKUP(Rezultati[[#This Row],[Skupaj]],_xlfn.XLOOKUP(Rezultati[[#This Row],[Program]],Kriterij[[#Headers],[APF]:[PED]],Kriterij[[APF]:[PED]]), Kriterij[Ocena], "", -1, 2)</f>
        <v>10</v>
      </c>
    </row>
    <row r="135" spans="2:16" x14ac:dyDescent="0.2">
      <c r="B135">
        <v>27000133</v>
      </c>
      <c r="C135" t="s">
        <v>11</v>
      </c>
      <c r="D135">
        <f>_xlfn.IFNA(_xlfn.XLOOKUP(Rezultati[[#This Row],[Vpisna]], DomaceNaloge[Vpisna],DomaceNaloge[Skupaj]), 0)</f>
        <v>0</v>
      </c>
      <c r="E135" t="str">
        <f>_xlfn.IFNA(_xlfn.XLOOKUP(Rezultati[[#This Row],[Vpisna]], Izpit1[Vpisna],Izpit1[Skupaj]), "")</f>
        <v/>
      </c>
      <c r="F135" t="str">
        <f>_xlfn.IFNA(_xlfn.XLOOKUP(Rezultati[[#This Row],[Vpisna]], Izpit1[Vpisna],Izpit1[Računalnik]), "")</f>
        <v/>
      </c>
      <c r="G135" s="12" t="b">
        <v>0</v>
      </c>
      <c r="H135" t="str">
        <f>_xlfn.IFNA(_xlfn.XLOOKUP(Rezultati[[#This Row],[Vpisna]], Izpit2[Vpisna],Izpit2[Skupaj]), "")</f>
        <v/>
      </c>
      <c r="I135" t="str">
        <f>_xlfn.IFNA(_xlfn.XLOOKUP(Rezultati[[#This Row],[Vpisna]], Izpit2[Vpisna],Izpit2[Računalnik]), "")</f>
        <v/>
      </c>
      <c r="J135" s="12" t="b">
        <v>0</v>
      </c>
      <c r="K135" t="str">
        <f>_xlfn.IFNA(_xlfn.XLOOKUP(Rezultati[[#This Row],[Vpisna]], Izpit3[Vpisna],Izpit3[Skupaj]), "")</f>
        <v/>
      </c>
      <c r="L135" s="12" t="b">
        <v>0</v>
      </c>
      <c r="M135">
        <f>MAX(Rezultati[[#This Row],[1.izpit]],Rezultati[[#This Row],[2.izpit]],Rezultati[[#This Row],[3.izpit]])</f>
        <v>0</v>
      </c>
      <c r="N135"/>
      <c r="O135">
        <f>Rezultati[[#This Row],[DN]]+Rezultati[[#This Row],[Max]]+Rezultati[[#This Row],[Bonus]]</f>
        <v>0</v>
      </c>
      <c r="P135" t="str" cm="1">
        <f t="array" ref="P135">_xlfn.XLOOKUP(Rezultati[[#This Row],[Skupaj]],_xlfn.XLOOKUP(Rezultati[[#This Row],[Program]],Kriterij[[#Headers],[APF]:[PED]],Kriterij[[APF]:[PED]]), Kriterij[Ocena], "", -1, 2)</f>
        <v/>
      </c>
    </row>
    <row r="136" spans="2:16" x14ac:dyDescent="0.2">
      <c r="B136">
        <v>27000134</v>
      </c>
      <c r="C136" t="s">
        <v>11</v>
      </c>
      <c r="D136">
        <f>_xlfn.IFNA(_xlfn.XLOOKUP(Rezultati[[#This Row],[Vpisna]], DomaceNaloge[Vpisna],DomaceNaloge[Skupaj]), 0)</f>
        <v>7</v>
      </c>
      <c r="E136">
        <f>_xlfn.IFNA(_xlfn.XLOOKUP(Rezultati[[#This Row],[Vpisna]], Izpit1[Vpisna],Izpit1[Skupaj]), "")</f>
        <v>80</v>
      </c>
      <c r="F136" t="str">
        <f>_xlfn.IFNA(_xlfn.XLOOKUP(Rezultati[[#This Row],[Vpisna]], Izpit1[Vpisna],Izpit1[Računalnik]), "")</f>
        <v>šolski</v>
      </c>
      <c r="G136" s="12" t="b">
        <v>1</v>
      </c>
      <c r="H136" t="str">
        <f>_xlfn.IFNA(_xlfn.XLOOKUP(Rezultati[[#This Row],[Vpisna]], Izpit2[Vpisna],Izpit2[Skupaj]), "")</f>
        <v/>
      </c>
      <c r="I136" t="str">
        <f>_xlfn.IFNA(_xlfn.XLOOKUP(Rezultati[[#This Row],[Vpisna]], Izpit2[Vpisna],Izpit2[Računalnik]), "")</f>
        <v/>
      </c>
      <c r="J136" s="12" t="b">
        <v>0</v>
      </c>
      <c r="K136" t="str">
        <f>_xlfn.IFNA(_xlfn.XLOOKUP(Rezultati[[#This Row],[Vpisna]], Izpit3[Vpisna],Izpit3[Skupaj]), "")</f>
        <v/>
      </c>
      <c r="L136" s="12" t="b">
        <v>0</v>
      </c>
      <c r="M136">
        <f>MAX(Rezultati[[#This Row],[1.izpit]],Rezultati[[#This Row],[2.izpit]],Rezultati[[#This Row],[3.izpit]])</f>
        <v>80</v>
      </c>
      <c r="N136"/>
      <c r="O136">
        <f>Rezultati[[#This Row],[DN]]+Rezultati[[#This Row],[Max]]+Rezultati[[#This Row],[Bonus]]</f>
        <v>87</v>
      </c>
      <c r="P136" cm="1">
        <f t="array" ref="P136">_xlfn.XLOOKUP(Rezultati[[#This Row],[Skupaj]],_xlfn.XLOOKUP(Rezultati[[#This Row],[Program]],Kriterij[[#Headers],[APF]:[PED]],Kriterij[[APF]:[PED]]), Kriterij[Ocena], "", -1, 2)</f>
        <v>9</v>
      </c>
    </row>
    <row r="137" spans="2:16" x14ac:dyDescent="0.2">
      <c r="B137">
        <v>27000135</v>
      </c>
      <c r="C137" t="s">
        <v>12</v>
      </c>
      <c r="D137">
        <f>_xlfn.IFNA(_xlfn.XLOOKUP(Rezultati[[#This Row],[Vpisna]], DomaceNaloge[Vpisna],DomaceNaloge[Skupaj]), 0)</f>
        <v>5</v>
      </c>
      <c r="E137" t="str">
        <f>_xlfn.IFNA(_xlfn.XLOOKUP(Rezultati[[#This Row],[Vpisna]], Izpit1[Vpisna],Izpit1[Skupaj]), "")</f>
        <v/>
      </c>
      <c r="F137" t="str">
        <f>_xlfn.IFNA(_xlfn.XLOOKUP(Rezultati[[#This Row],[Vpisna]], Izpit1[Vpisna],Izpit1[Računalnik]), "")</f>
        <v/>
      </c>
      <c r="G137" s="12" t="b">
        <v>0</v>
      </c>
      <c r="H137" t="str">
        <f>_xlfn.IFNA(_xlfn.XLOOKUP(Rezultati[[#This Row],[Vpisna]], Izpit2[Vpisna],Izpit2[Skupaj]), "")</f>
        <v/>
      </c>
      <c r="I137" t="str">
        <f>_xlfn.IFNA(_xlfn.XLOOKUP(Rezultati[[#This Row],[Vpisna]], Izpit2[Vpisna],Izpit2[Računalnik]), "")</f>
        <v/>
      </c>
      <c r="J137" s="12" t="b">
        <v>0</v>
      </c>
      <c r="K137">
        <f>_xlfn.IFNA(_xlfn.XLOOKUP(Rezultati[[#This Row],[Vpisna]], Izpit3[Vpisna],Izpit3[Skupaj]), "")</f>
        <v>39</v>
      </c>
      <c r="L137" s="12" t="b">
        <v>1</v>
      </c>
      <c r="M137">
        <f>MAX(Rezultati[[#This Row],[1.izpit]],Rezultati[[#This Row],[2.izpit]],Rezultati[[#This Row],[3.izpit]])</f>
        <v>39</v>
      </c>
      <c r="N137"/>
      <c r="O137">
        <f>Rezultati[[#This Row],[DN]]+Rezultati[[#This Row],[Max]]+Rezultati[[#This Row],[Bonus]]</f>
        <v>44</v>
      </c>
      <c r="P137" cm="1">
        <f t="array" ref="P137">_xlfn.XLOOKUP(Rezultati[[#This Row],[Skupaj]],_xlfn.XLOOKUP(Rezultati[[#This Row],[Program]],Kriterij[[#Headers],[APF]:[PED]],Kriterij[[APF]:[PED]]), Kriterij[Ocena], "", -1, 2)</f>
        <v>5</v>
      </c>
    </row>
    <row r="138" spans="2:16" x14ac:dyDescent="0.2">
      <c r="B138">
        <v>27000136</v>
      </c>
      <c r="C138" t="s">
        <v>11</v>
      </c>
      <c r="D138">
        <f>_xlfn.IFNA(_xlfn.XLOOKUP(Rezultati[[#This Row],[Vpisna]], DomaceNaloge[Vpisna],DomaceNaloge[Skupaj]), 0)</f>
        <v>7</v>
      </c>
      <c r="E138">
        <f>_xlfn.IFNA(_xlfn.XLOOKUP(Rezultati[[#This Row],[Vpisna]], Izpit1[Vpisna],Izpit1[Skupaj]), "")</f>
        <v>72</v>
      </c>
      <c r="F138" t="str">
        <f>_xlfn.IFNA(_xlfn.XLOOKUP(Rezultati[[#This Row],[Vpisna]], Izpit1[Vpisna],Izpit1[Računalnik]), "")</f>
        <v>svoj</v>
      </c>
      <c r="G138" s="12" t="b">
        <v>1</v>
      </c>
      <c r="H138" t="str">
        <f>_xlfn.IFNA(_xlfn.XLOOKUP(Rezultati[[#This Row],[Vpisna]], Izpit2[Vpisna],Izpit2[Skupaj]), "")</f>
        <v/>
      </c>
      <c r="I138" t="str">
        <f>_xlfn.IFNA(_xlfn.XLOOKUP(Rezultati[[#This Row],[Vpisna]], Izpit2[Vpisna],Izpit2[Računalnik]), "")</f>
        <v/>
      </c>
      <c r="J138" s="12" t="b">
        <v>0</v>
      </c>
      <c r="K138" t="str">
        <f>_xlfn.IFNA(_xlfn.XLOOKUP(Rezultati[[#This Row],[Vpisna]], Izpit3[Vpisna],Izpit3[Skupaj]), "")</f>
        <v/>
      </c>
      <c r="L138" s="12" t="b">
        <v>0</v>
      </c>
      <c r="M138">
        <f>MAX(Rezultati[[#This Row],[1.izpit]],Rezultati[[#This Row],[2.izpit]],Rezultati[[#This Row],[3.izpit]])</f>
        <v>72</v>
      </c>
      <c r="N138"/>
      <c r="O138">
        <f>Rezultati[[#This Row],[DN]]+Rezultati[[#This Row],[Max]]+Rezultati[[#This Row],[Bonus]]</f>
        <v>79</v>
      </c>
      <c r="P138" cm="1">
        <f t="array" ref="P138">_xlfn.XLOOKUP(Rezultati[[#This Row],[Skupaj]],_xlfn.XLOOKUP(Rezultati[[#This Row],[Program]],Kriterij[[#Headers],[APF]:[PED]],Kriterij[[APF]:[PED]]), Kriterij[Ocena], "", -1, 2)</f>
        <v>8</v>
      </c>
    </row>
    <row r="139" spans="2:16" x14ac:dyDescent="0.2">
      <c r="B139">
        <v>27000137</v>
      </c>
      <c r="C139" t="s">
        <v>11</v>
      </c>
      <c r="D139">
        <f>_xlfn.IFNA(_xlfn.XLOOKUP(Rezultati[[#This Row],[Vpisna]], DomaceNaloge[Vpisna],DomaceNaloge[Skupaj]), 0)</f>
        <v>0</v>
      </c>
      <c r="E139" t="str">
        <f>_xlfn.IFNA(_xlfn.XLOOKUP(Rezultati[[#This Row],[Vpisna]], Izpit1[Vpisna],Izpit1[Skupaj]), "")</f>
        <v/>
      </c>
      <c r="F139" t="str">
        <f>_xlfn.IFNA(_xlfn.XLOOKUP(Rezultati[[#This Row],[Vpisna]], Izpit1[Vpisna],Izpit1[Računalnik]), "")</f>
        <v/>
      </c>
      <c r="G139" s="12" t="b">
        <v>0</v>
      </c>
      <c r="H139" t="str">
        <f>_xlfn.IFNA(_xlfn.XLOOKUP(Rezultati[[#This Row],[Vpisna]], Izpit2[Vpisna],Izpit2[Skupaj]), "")</f>
        <v/>
      </c>
      <c r="I139" t="str">
        <f>_xlfn.IFNA(_xlfn.XLOOKUP(Rezultati[[#This Row],[Vpisna]], Izpit2[Vpisna],Izpit2[Računalnik]), "")</f>
        <v/>
      </c>
      <c r="J139" s="12" t="b">
        <v>0</v>
      </c>
      <c r="K139" t="str">
        <f>_xlfn.IFNA(_xlfn.XLOOKUP(Rezultati[[#This Row],[Vpisna]], Izpit3[Vpisna],Izpit3[Skupaj]), "")</f>
        <v/>
      </c>
      <c r="L139" s="12" t="b">
        <v>0</v>
      </c>
      <c r="M139">
        <f>MAX(Rezultati[[#This Row],[1.izpit]],Rezultati[[#This Row],[2.izpit]],Rezultati[[#This Row],[3.izpit]])</f>
        <v>0</v>
      </c>
      <c r="N139"/>
      <c r="O139">
        <f>Rezultati[[#This Row],[DN]]+Rezultati[[#This Row],[Max]]+Rezultati[[#This Row],[Bonus]]</f>
        <v>0</v>
      </c>
      <c r="P139" t="str" cm="1">
        <f t="array" ref="P139">_xlfn.XLOOKUP(Rezultati[[#This Row],[Skupaj]],_xlfn.XLOOKUP(Rezultati[[#This Row],[Program]],Kriterij[[#Headers],[APF]:[PED]],Kriterij[[APF]:[PED]]), Kriterij[Ocena], "", -1, 2)</f>
        <v/>
      </c>
    </row>
    <row r="140" spans="2:16" x14ac:dyDescent="0.2">
      <c r="B140">
        <v>27000138</v>
      </c>
      <c r="C140" t="s">
        <v>11</v>
      </c>
      <c r="D140">
        <f>_xlfn.IFNA(_xlfn.XLOOKUP(Rezultati[[#This Row],[Vpisna]], DomaceNaloge[Vpisna],DomaceNaloge[Skupaj]), 0)</f>
        <v>0</v>
      </c>
      <c r="E140" t="str">
        <f>_xlfn.IFNA(_xlfn.XLOOKUP(Rezultati[[#This Row],[Vpisna]], Izpit1[Vpisna],Izpit1[Skupaj]), "")</f>
        <v/>
      </c>
      <c r="F140" t="str">
        <f>_xlfn.IFNA(_xlfn.XLOOKUP(Rezultati[[#This Row],[Vpisna]], Izpit1[Vpisna],Izpit1[Računalnik]), "")</f>
        <v/>
      </c>
      <c r="G140" s="12" t="b">
        <v>0</v>
      </c>
      <c r="H140" t="str">
        <f>_xlfn.IFNA(_xlfn.XLOOKUP(Rezultati[[#This Row],[Vpisna]], Izpit2[Vpisna],Izpit2[Skupaj]), "")</f>
        <v/>
      </c>
      <c r="I140" t="str">
        <f>_xlfn.IFNA(_xlfn.XLOOKUP(Rezultati[[#This Row],[Vpisna]], Izpit2[Vpisna],Izpit2[Računalnik]), "")</f>
        <v/>
      </c>
      <c r="J140" s="12" t="b">
        <v>0</v>
      </c>
      <c r="K140" t="str">
        <f>_xlfn.IFNA(_xlfn.XLOOKUP(Rezultati[[#This Row],[Vpisna]], Izpit3[Vpisna],Izpit3[Skupaj]), "")</f>
        <v/>
      </c>
      <c r="L140" s="12" t="b">
        <v>0</v>
      </c>
      <c r="M140">
        <f>MAX(Rezultati[[#This Row],[1.izpit]],Rezultati[[#This Row],[2.izpit]],Rezultati[[#This Row],[3.izpit]])</f>
        <v>0</v>
      </c>
      <c r="N140"/>
      <c r="O140">
        <f>Rezultati[[#This Row],[DN]]+Rezultati[[#This Row],[Max]]+Rezultati[[#This Row],[Bonus]]</f>
        <v>0</v>
      </c>
      <c r="P140" t="str" cm="1">
        <f t="array" ref="P140">_xlfn.XLOOKUP(Rezultati[[#This Row],[Skupaj]],_xlfn.XLOOKUP(Rezultati[[#This Row],[Program]],Kriterij[[#Headers],[APF]:[PED]],Kriterij[[APF]:[PED]]), Kriterij[Ocena], "", -1, 2)</f>
        <v/>
      </c>
    </row>
    <row r="141" spans="2:16" x14ac:dyDescent="0.2">
      <c r="B141">
        <v>27000139</v>
      </c>
      <c r="C141" t="s">
        <v>11</v>
      </c>
      <c r="D141">
        <f>_xlfn.IFNA(_xlfn.XLOOKUP(Rezultati[[#This Row],[Vpisna]], DomaceNaloge[Vpisna],DomaceNaloge[Skupaj]), 0)</f>
        <v>0</v>
      </c>
      <c r="E141" t="str">
        <f>_xlfn.IFNA(_xlfn.XLOOKUP(Rezultati[[#This Row],[Vpisna]], Izpit1[Vpisna],Izpit1[Skupaj]), "")</f>
        <v/>
      </c>
      <c r="F141" t="str">
        <f>_xlfn.IFNA(_xlfn.XLOOKUP(Rezultati[[#This Row],[Vpisna]], Izpit1[Vpisna],Izpit1[Računalnik]), "")</f>
        <v/>
      </c>
      <c r="G141" s="12" t="b">
        <v>0</v>
      </c>
      <c r="H141" t="str">
        <f>_xlfn.IFNA(_xlfn.XLOOKUP(Rezultati[[#This Row],[Vpisna]], Izpit2[Vpisna],Izpit2[Skupaj]), "")</f>
        <v/>
      </c>
      <c r="I141" t="str">
        <f>_xlfn.IFNA(_xlfn.XLOOKUP(Rezultati[[#This Row],[Vpisna]], Izpit2[Vpisna],Izpit2[Računalnik]), "")</f>
        <v/>
      </c>
      <c r="J141" s="12" t="b">
        <v>0</v>
      </c>
      <c r="K141" t="str">
        <f>_xlfn.IFNA(_xlfn.XLOOKUP(Rezultati[[#This Row],[Vpisna]], Izpit3[Vpisna],Izpit3[Skupaj]), "")</f>
        <v/>
      </c>
      <c r="L141" s="12" t="b">
        <v>0</v>
      </c>
      <c r="M141">
        <f>MAX(Rezultati[[#This Row],[1.izpit]],Rezultati[[#This Row],[2.izpit]],Rezultati[[#This Row],[3.izpit]])</f>
        <v>0</v>
      </c>
      <c r="N141"/>
      <c r="O141">
        <f>Rezultati[[#This Row],[DN]]+Rezultati[[#This Row],[Max]]+Rezultati[[#This Row],[Bonus]]</f>
        <v>0</v>
      </c>
      <c r="P141" t="str" cm="1">
        <f t="array" ref="P141">_xlfn.XLOOKUP(Rezultati[[#This Row],[Skupaj]],_xlfn.XLOOKUP(Rezultati[[#This Row],[Program]],Kriterij[[#Headers],[APF]:[PED]],Kriterij[[APF]:[PED]]), Kriterij[Ocena], "", -1, 2)</f>
        <v/>
      </c>
    </row>
    <row r="142" spans="2:16" x14ac:dyDescent="0.2">
      <c r="B142">
        <v>27000140</v>
      </c>
      <c r="C142" t="s">
        <v>11</v>
      </c>
      <c r="D142">
        <f>_xlfn.IFNA(_xlfn.XLOOKUP(Rezultati[[#This Row],[Vpisna]], DomaceNaloge[Vpisna],DomaceNaloge[Skupaj]), 0)</f>
        <v>0</v>
      </c>
      <c r="E142" t="str">
        <f>_xlfn.IFNA(_xlfn.XLOOKUP(Rezultati[[#This Row],[Vpisna]], Izpit1[Vpisna],Izpit1[Skupaj]), "")</f>
        <v/>
      </c>
      <c r="F142" t="str">
        <f>_xlfn.IFNA(_xlfn.XLOOKUP(Rezultati[[#This Row],[Vpisna]], Izpit1[Vpisna],Izpit1[Računalnik]), "")</f>
        <v/>
      </c>
      <c r="G142" s="12" t="b">
        <v>0</v>
      </c>
      <c r="H142" t="str">
        <f>_xlfn.IFNA(_xlfn.XLOOKUP(Rezultati[[#This Row],[Vpisna]], Izpit2[Vpisna],Izpit2[Skupaj]), "")</f>
        <v/>
      </c>
      <c r="I142" t="str">
        <f>_xlfn.IFNA(_xlfn.XLOOKUP(Rezultati[[#This Row],[Vpisna]], Izpit2[Vpisna],Izpit2[Računalnik]), "")</f>
        <v/>
      </c>
      <c r="J142" s="12" t="b">
        <v>0</v>
      </c>
      <c r="K142" t="str">
        <f>_xlfn.IFNA(_xlfn.XLOOKUP(Rezultati[[#This Row],[Vpisna]], Izpit3[Vpisna],Izpit3[Skupaj]), "")</f>
        <v/>
      </c>
      <c r="L142" s="12" t="b">
        <v>0</v>
      </c>
      <c r="M142">
        <f>MAX(Rezultati[[#This Row],[1.izpit]],Rezultati[[#This Row],[2.izpit]],Rezultati[[#This Row],[3.izpit]])</f>
        <v>0</v>
      </c>
      <c r="N142"/>
      <c r="O142">
        <f>Rezultati[[#This Row],[DN]]+Rezultati[[#This Row],[Max]]+Rezultati[[#This Row],[Bonus]]</f>
        <v>0</v>
      </c>
      <c r="P142" t="str" cm="1">
        <f t="array" ref="P142">_xlfn.XLOOKUP(Rezultati[[#This Row],[Skupaj]],_xlfn.XLOOKUP(Rezultati[[#This Row],[Program]],Kriterij[[#Headers],[APF]:[PED]],Kriterij[[APF]:[PED]]), Kriterij[Ocena], "", -1, 2)</f>
        <v/>
      </c>
    </row>
    <row r="143" spans="2:16" x14ac:dyDescent="0.2">
      <c r="B143">
        <v>27000141</v>
      </c>
      <c r="C143" t="s">
        <v>11</v>
      </c>
      <c r="D143">
        <f>_xlfn.IFNA(_xlfn.XLOOKUP(Rezultati[[#This Row],[Vpisna]], DomaceNaloge[Vpisna],DomaceNaloge[Skupaj]), 0)</f>
        <v>9</v>
      </c>
      <c r="E143">
        <f>_xlfn.IFNA(_xlfn.XLOOKUP(Rezultati[[#This Row],[Vpisna]], Izpit1[Vpisna],Izpit1[Skupaj]), "")</f>
        <v>86.5</v>
      </c>
      <c r="F143" t="str">
        <f>_xlfn.IFNA(_xlfn.XLOOKUP(Rezultati[[#This Row],[Vpisna]], Izpit1[Vpisna],Izpit1[Računalnik]), "")</f>
        <v>svoj</v>
      </c>
      <c r="G143" s="12" t="b">
        <v>1</v>
      </c>
      <c r="H143" t="str">
        <f>_xlfn.IFNA(_xlfn.XLOOKUP(Rezultati[[#This Row],[Vpisna]], Izpit2[Vpisna],Izpit2[Skupaj]), "")</f>
        <v/>
      </c>
      <c r="I143" t="str">
        <f>_xlfn.IFNA(_xlfn.XLOOKUP(Rezultati[[#This Row],[Vpisna]], Izpit2[Vpisna],Izpit2[Računalnik]), "")</f>
        <v/>
      </c>
      <c r="J143" s="12" t="b">
        <v>0</v>
      </c>
      <c r="K143" t="str">
        <f>_xlfn.IFNA(_xlfn.XLOOKUP(Rezultati[[#This Row],[Vpisna]], Izpit3[Vpisna],Izpit3[Skupaj]), "")</f>
        <v/>
      </c>
      <c r="L143" s="12" t="b">
        <v>0</v>
      </c>
      <c r="M143">
        <f>MAX(Rezultati[[#This Row],[1.izpit]],Rezultati[[#This Row],[2.izpit]],Rezultati[[#This Row],[3.izpit]])</f>
        <v>86.5</v>
      </c>
      <c r="N143"/>
      <c r="O143">
        <f>Rezultati[[#This Row],[DN]]+Rezultati[[#This Row],[Max]]+Rezultati[[#This Row],[Bonus]]</f>
        <v>95.5</v>
      </c>
      <c r="P143" cm="1">
        <f t="array" ref="P143">_xlfn.XLOOKUP(Rezultati[[#This Row],[Skupaj]],_xlfn.XLOOKUP(Rezultati[[#This Row],[Program]],Kriterij[[#Headers],[APF]:[PED]],Kriterij[[APF]:[PED]]), Kriterij[Ocena], "", -1, 2)</f>
        <v>10</v>
      </c>
    </row>
    <row r="144" spans="2:16" x14ac:dyDescent="0.2">
      <c r="B144">
        <v>27000142</v>
      </c>
      <c r="C144" t="s">
        <v>11</v>
      </c>
      <c r="D144">
        <f>_xlfn.IFNA(_xlfn.XLOOKUP(Rezultati[[#This Row],[Vpisna]], DomaceNaloge[Vpisna],DomaceNaloge[Skupaj]), 0)</f>
        <v>0</v>
      </c>
      <c r="E144" t="str">
        <f>_xlfn.IFNA(_xlfn.XLOOKUP(Rezultati[[#This Row],[Vpisna]], Izpit1[Vpisna],Izpit1[Skupaj]), "")</f>
        <v/>
      </c>
      <c r="F144" t="str">
        <f>_xlfn.IFNA(_xlfn.XLOOKUP(Rezultati[[#This Row],[Vpisna]], Izpit1[Vpisna],Izpit1[Računalnik]), "")</f>
        <v/>
      </c>
      <c r="G144" s="12" t="b">
        <v>0</v>
      </c>
      <c r="H144" t="str">
        <f>_xlfn.IFNA(_xlfn.XLOOKUP(Rezultati[[#This Row],[Vpisna]], Izpit2[Vpisna],Izpit2[Skupaj]), "")</f>
        <v/>
      </c>
      <c r="I144" t="str">
        <f>_xlfn.IFNA(_xlfn.XLOOKUP(Rezultati[[#This Row],[Vpisna]], Izpit2[Vpisna],Izpit2[Računalnik]), "")</f>
        <v/>
      </c>
      <c r="J144" s="12" t="b">
        <v>0</v>
      </c>
      <c r="K144" t="str">
        <f>_xlfn.IFNA(_xlfn.XLOOKUP(Rezultati[[#This Row],[Vpisna]], Izpit3[Vpisna],Izpit3[Skupaj]), "")</f>
        <v/>
      </c>
      <c r="L144" s="12" t="b">
        <v>0</v>
      </c>
      <c r="M144">
        <f>MAX(Rezultati[[#This Row],[1.izpit]],Rezultati[[#This Row],[2.izpit]],Rezultati[[#This Row],[3.izpit]])</f>
        <v>0</v>
      </c>
      <c r="N144"/>
      <c r="O144">
        <f>Rezultati[[#This Row],[DN]]+Rezultati[[#This Row],[Max]]+Rezultati[[#This Row],[Bonus]]</f>
        <v>0</v>
      </c>
      <c r="P144" t="str" cm="1">
        <f t="array" ref="P144">_xlfn.XLOOKUP(Rezultati[[#This Row],[Skupaj]],_xlfn.XLOOKUP(Rezultati[[#This Row],[Program]],Kriterij[[#Headers],[APF]:[PED]],Kriterij[[APF]:[PED]]), Kriterij[Ocena], "", -1, 2)</f>
        <v/>
      </c>
    </row>
    <row r="145" spans="2:16" x14ac:dyDescent="0.2">
      <c r="B145">
        <v>27000143</v>
      </c>
      <c r="C145" t="s">
        <v>11</v>
      </c>
      <c r="D145">
        <f>_xlfn.IFNA(_xlfn.XLOOKUP(Rezultati[[#This Row],[Vpisna]], DomaceNaloge[Vpisna],DomaceNaloge[Skupaj]), 0)</f>
        <v>0</v>
      </c>
      <c r="E145" t="str">
        <f>_xlfn.IFNA(_xlfn.XLOOKUP(Rezultati[[#This Row],[Vpisna]], Izpit1[Vpisna],Izpit1[Skupaj]), "")</f>
        <v/>
      </c>
      <c r="F145" t="str">
        <f>_xlfn.IFNA(_xlfn.XLOOKUP(Rezultati[[#This Row],[Vpisna]], Izpit1[Vpisna],Izpit1[Računalnik]), "")</f>
        <v/>
      </c>
      <c r="G145" s="12" t="b">
        <v>0</v>
      </c>
      <c r="H145" t="str">
        <f>_xlfn.IFNA(_xlfn.XLOOKUP(Rezultati[[#This Row],[Vpisna]], Izpit2[Vpisna],Izpit2[Skupaj]), "")</f>
        <v/>
      </c>
      <c r="I145" t="str">
        <f>_xlfn.IFNA(_xlfn.XLOOKUP(Rezultati[[#This Row],[Vpisna]], Izpit2[Vpisna],Izpit2[Računalnik]), "")</f>
        <v/>
      </c>
      <c r="J145" s="12" t="b">
        <v>0</v>
      </c>
      <c r="K145" t="str">
        <f>_xlfn.IFNA(_xlfn.XLOOKUP(Rezultati[[#This Row],[Vpisna]], Izpit3[Vpisna],Izpit3[Skupaj]), "")</f>
        <v/>
      </c>
      <c r="L145" s="12" t="b">
        <v>0</v>
      </c>
      <c r="M145">
        <f>MAX(Rezultati[[#This Row],[1.izpit]],Rezultati[[#This Row],[2.izpit]],Rezultati[[#This Row],[3.izpit]])</f>
        <v>0</v>
      </c>
      <c r="N145"/>
      <c r="O145">
        <f>Rezultati[[#This Row],[DN]]+Rezultati[[#This Row],[Max]]+Rezultati[[#This Row],[Bonus]]</f>
        <v>0</v>
      </c>
      <c r="P145" t="str" cm="1">
        <f t="array" ref="P145">_xlfn.XLOOKUP(Rezultati[[#This Row],[Skupaj]],_xlfn.XLOOKUP(Rezultati[[#This Row],[Program]],Kriterij[[#Headers],[APF]:[PED]],Kriterij[[APF]:[PED]]), Kriterij[Ocena], "", -1, 2)</f>
        <v/>
      </c>
    </row>
    <row r="146" spans="2:16" x14ac:dyDescent="0.2">
      <c r="B146">
        <v>27000144</v>
      </c>
      <c r="C146" t="s">
        <v>11</v>
      </c>
      <c r="D146">
        <f>_xlfn.IFNA(_xlfn.XLOOKUP(Rezultati[[#This Row],[Vpisna]], DomaceNaloge[Vpisna],DomaceNaloge[Skupaj]), 0)</f>
        <v>8</v>
      </c>
      <c r="E146">
        <f>_xlfn.IFNA(_xlfn.XLOOKUP(Rezultati[[#This Row],[Vpisna]], Izpit1[Vpisna],Izpit1[Skupaj]), "")</f>
        <v>76.5</v>
      </c>
      <c r="F146" t="str">
        <f>_xlfn.IFNA(_xlfn.XLOOKUP(Rezultati[[#This Row],[Vpisna]], Izpit1[Vpisna],Izpit1[Računalnik]), "")</f>
        <v>svoj</v>
      </c>
      <c r="G146" s="12" t="b">
        <v>1</v>
      </c>
      <c r="H146" t="str">
        <f>_xlfn.IFNA(_xlfn.XLOOKUP(Rezultati[[#This Row],[Vpisna]], Izpit2[Vpisna],Izpit2[Skupaj]), "")</f>
        <v/>
      </c>
      <c r="I146" t="str">
        <f>_xlfn.IFNA(_xlfn.XLOOKUP(Rezultati[[#This Row],[Vpisna]], Izpit2[Vpisna],Izpit2[Računalnik]), "")</f>
        <v/>
      </c>
      <c r="J146" s="12" t="b">
        <v>0</v>
      </c>
      <c r="K146" t="str">
        <f>_xlfn.IFNA(_xlfn.XLOOKUP(Rezultati[[#This Row],[Vpisna]], Izpit3[Vpisna],Izpit3[Skupaj]), "")</f>
        <v/>
      </c>
      <c r="L146" s="12" t="b">
        <v>0</v>
      </c>
      <c r="M146">
        <f>MAX(Rezultati[[#This Row],[1.izpit]],Rezultati[[#This Row],[2.izpit]],Rezultati[[#This Row],[3.izpit]])</f>
        <v>76.5</v>
      </c>
      <c r="N146"/>
      <c r="O146">
        <f>Rezultati[[#This Row],[DN]]+Rezultati[[#This Row],[Max]]+Rezultati[[#This Row],[Bonus]]</f>
        <v>84.5</v>
      </c>
      <c r="P146" cm="1">
        <f t="array" ref="P146">_xlfn.XLOOKUP(Rezultati[[#This Row],[Skupaj]],_xlfn.XLOOKUP(Rezultati[[#This Row],[Program]],Kriterij[[#Headers],[APF]:[PED]],Kriterij[[APF]:[PED]]), Kriterij[Ocena], "", -1, 2)</f>
        <v>9</v>
      </c>
    </row>
    <row r="147" spans="2:16" x14ac:dyDescent="0.2">
      <c r="B147">
        <v>27000145</v>
      </c>
      <c r="C147" t="s">
        <v>11</v>
      </c>
      <c r="D147">
        <f>_xlfn.IFNA(_xlfn.XLOOKUP(Rezultati[[#This Row],[Vpisna]], DomaceNaloge[Vpisna],DomaceNaloge[Skupaj]), 0)</f>
        <v>0</v>
      </c>
      <c r="E147" t="str">
        <f>_xlfn.IFNA(_xlfn.XLOOKUP(Rezultati[[#This Row],[Vpisna]], Izpit1[Vpisna],Izpit1[Skupaj]), "")</f>
        <v/>
      </c>
      <c r="F147" t="str">
        <f>_xlfn.IFNA(_xlfn.XLOOKUP(Rezultati[[#This Row],[Vpisna]], Izpit1[Vpisna],Izpit1[Računalnik]), "")</f>
        <v/>
      </c>
      <c r="G147" s="12" t="b">
        <v>0</v>
      </c>
      <c r="H147" t="str">
        <f>_xlfn.IFNA(_xlfn.XLOOKUP(Rezultati[[#This Row],[Vpisna]], Izpit2[Vpisna],Izpit2[Skupaj]), "")</f>
        <v/>
      </c>
      <c r="I147" t="str">
        <f>_xlfn.IFNA(_xlfn.XLOOKUP(Rezultati[[#This Row],[Vpisna]], Izpit2[Vpisna],Izpit2[Računalnik]), "")</f>
        <v/>
      </c>
      <c r="J147" s="12" t="b">
        <v>0</v>
      </c>
      <c r="K147" t="str">
        <f>_xlfn.IFNA(_xlfn.XLOOKUP(Rezultati[[#This Row],[Vpisna]], Izpit3[Vpisna],Izpit3[Skupaj]), "")</f>
        <v/>
      </c>
      <c r="L147" s="12" t="b">
        <v>0</v>
      </c>
      <c r="M147">
        <f>MAX(Rezultati[[#This Row],[1.izpit]],Rezultati[[#This Row],[2.izpit]],Rezultati[[#This Row],[3.izpit]])</f>
        <v>0</v>
      </c>
      <c r="N147"/>
      <c r="O147">
        <f>Rezultati[[#This Row],[DN]]+Rezultati[[#This Row],[Max]]+Rezultati[[#This Row],[Bonus]]</f>
        <v>0</v>
      </c>
      <c r="P147" t="str" cm="1">
        <f t="array" ref="P147">_xlfn.XLOOKUP(Rezultati[[#This Row],[Skupaj]],_xlfn.XLOOKUP(Rezultati[[#This Row],[Program]],Kriterij[[#Headers],[APF]:[PED]],Kriterij[[APF]:[PED]]), Kriterij[Ocena], "", -1, 2)</f>
        <v/>
      </c>
    </row>
    <row r="148" spans="2:16" x14ac:dyDescent="0.2">
      <c r="B148">
        <v>27000146</v>
      </c>
      <c r="C148" t="s">
        <v>11</v>
      </c>
      <c r="D148">
        <f>_xlfn.IFNA(_xlfn.XLOOKUP(Rezultati[[#This Row],[Vpisna]], DomaceNaloge[Vpisna],DomaceNaloge[Skupaj]), 0)</f>
        <v>6</v>
      </c>
      <c r="E148">
        <f>_xlfn.IFNA(_xlfn.XLOOKUP(Rezultati[[#This Row],[Vpisna]], Izpit1[Vpisna],Izpit1[Skupaj]), "")</f>
        <v>70.5</v>
      </c>
      <c r="F148" t="str">
        <f>_xlfn.IFNA(_xlfn.XLOOKUP(Rezultati[[#This Row],[Vpisna]], Izpit1[Vpisna],Izpit1[Računalnik]), "")</f>
        <v>šolski</v>
      </c>
      <c r="G148" s="12" t="b">
        <v>1</v>
      </c>
      <c r="H148" t="str">
        <f>_xlfn.IFNA(_xlfn.XLOOKUP(Rezultati[[#This Row],[Vpisna]], Izpit2[Vpisna],Izpit2[Skupaj]), "")</f>
        <v/>
      </c>
      <c r="I148" t="str">
        <f>_xlfn.IFNA(_xlfn.XLOOKUP(Rezultati[[#This Row],[Vpisna]], Izpit2[Vpisna],Izpit2[Računalnik]), "")</f>
        <v/>
      </c>
      <c r="J148" s="12" t="b">
        <v>0</v>
      </c>
      <c r="K148" t="str">
        <f>_xlfn.IFNA(_xlfn.XLOOKUP(Rezultati[[#This Row],[Vpisna]], Izpit3[Vpisna],Izpit3[Skupaj]), "")</f>
        <v/>
      </c>
      <c r="L148" s="12" t="b">
        <v>0</v>
      </c>
      <c r="M148">
        <f>MAX(Rezultati[[#This Row],[1.izpit]],Rezultati[[#This Row],[2.izpit]],Rezultati[[#This Row],[3.izpit]])</f>
        <v>70.5</v>
      </c>
      <c r="N148"/>
      <c r="O148">
        <f>Rezultati[[#This Row],[DN]]+Rezultati[[#This Row],[Max]]+Rezultati[[#This Row],[Bonus]]</f>
        <v>76.5</v>
      </c>
      <c r="P148" cm="1">
        <f t="array" ref="P148">_xlfn.XLOOKUP(Rezultati[[#This Row],[Skupaj]],_xlfn.XLOOKUP(Rezultati[[#This Row],[Program]],Kriterij[[#Headers],[APF]:[PED]],Kriterij[[APF]:[PED]]), Kriterij[Ocena], "", -1, 2)</f>
        <v>8</v>
      </c>
    </row>
    <row r="149" spans="2:16" x14ac:dyDescent="0.2">
      <c r="B149">
        <v>27000147</v>
      </c>
      <c r="C149" t="s">
        <v>11</v>
      </c>
      <c r="D149">
        <f>_xlfn.IFNA(_xlfn.XLOOKUP(Rezultati[[#This Row],[Vpisna]], DomaceNaloge[Vpisna],DomaceNaloge[Skupaj]), 0)</f>
        <v>0</v>
      </c>
      <c r="E149" t="str">
        <f>_xlfn.IFNA(_xlfn.XLOOKUP(Rezultati[[#This Row],[Vpisna]], Izpit1[Vpisna],Izpit1[Skupaj]), "")</f>
        <v/>
      </c>
      <c r="F149" t="str">
        <f>_xlfn.IFNA(_xlfn.XLOOKUP(Rezultati[[#This Row],[Vpisna]], Izpit1[Vpisna],Izpit1[Računalnik]), "")</f>
        <v/>
      </c>
      <c r="G149" s="12" t="b">
        <v>0</v>
      </c>
      <c r="H149" t="str">
        <f>_xlfn.IFNA(_xlfn.XLOOKUP(Rezultati[[#This Row],[Vpisna]], Izpit2[Vpisna],Izpit2[Skupaj]), "")</f>
        <v/>
      </c>
      <c r="I149" t="str">
        <f>_xlfn.IFNA(_xlfn.XLOOKUP(Rezultati[[#This Row],[Vpisna]], Izpit2[Vpisna],Izpit2[Računalnik]), "")</f>
        <v/>
      </c>
      <c r="J149" s="12" t="b">
        <v>0</v>
      </c>
      <c r="K149" t="str">
        <f>_xlfn.IFNA(_xlfn.XLOOKUP(Rezultati[[#This Row],[Vpisna]], Izpit3[Vpisna],Izpit3[Skupaj]), "")</f>
        <v/>
      </c>
      <c r="L149" s="12" t="b">
        <v>0</v>
      </c>
      <c r="M149">
        <f>MAX(Rezultati[[#This Row],[1.izpit]],Rezultati[[#This Row],[2.izpit]],Rezultati[[#This Row],[3.izpit]])</f>
        <v>0</v>
      </c>
      <c r="N149"/>
      <c r="O149">
        <f>Rezultati[[#This Row],[DN]]+Rezultati[[#This Row],[Max]]+Rezultati[[#This Row],[Bonus]]</f>
        <v>0</v>
      </c>
      <c r="P149" t="str" cm="1">
        <f t="array" ref="P149">_xlfn.XLOOKUP(Rezultati[[#This Row],[Skupaj]],_xlfn.XLOOKUP(Rezultati[[#This Row],[Program]],Kriterij[[#Headers],[APF]:[PED]],Kriterij[[APF]:[PED]]), Kriterij[Ocena], "", -1, 2)</f>
        <v/>
      </c>
    </row>
    <row r="150" spans="2:16" x14ac:dyDescent="0.2">
      <c r="B150">
        <v>27000148</v>
      </c>
      <c r="C150" t="s">
        <v>11</v>
      </c>
      <c r="D150">
        <f>_xlfn.IFNA(_xlfn.XLOOKUP(Rezultati[[#This Row],[Vpisna]], DomaceNaloge[Vpisna],DomaceNaloge[Skupaj]), 0)</f>
        <v>9</v>
      </c>
      <c r="E150">
        <f>_xlfn.IFNA(_xlfn.XLOOKUP(Rezultati[[#This Row],[Vpisna]], Izpit1[Vpisna],Izpit1[Skupaj]), "")</f>
        <v>95.5</v>
      </c>
      <c r="F150" t="str">
        <f>_xlfn.IFNA(_xlfn.XLOOKUP(Rezultati[[#This Row],[Vpisna]], Izpit1[Vpisna],Izpit1[Računalnik]), "")</f>
        <v>šolski</v>
      </c>
      <c r="G150" s="12" t="b">
        <v>1</v>
      </c>
      <c r="H150" t="str">
        <f>_xlfn.IFNA(_xlfn.XLOOKUP(Rezultati[[#This Row],[Vpisna]], Izpit2[Vpisna],Izpit2[Skupaj]), "")</f>
        <v/>
      </c>
      <c r="I150" t="str">
        <f>_xlfn.IFNA(_xlfn.XLOOKUP(Rezultati[[#This Row],[Vpisna]], Izpit2[Vpisna],Izpit2[Računalnik]), "")</f>
        <v/>
      </c>
      <c r="J150" s="12" t="b">
        <v>0</v>
      </c>
      <c r="K150" t="str">
        <f>_xlfn.IFNA(_xlfn.XLOOKUP(Rezultati[[#This Row],[Vpisna]], Izpit3[Vpisna],Izpit3[Skupaj]), "")</f>
        <v/>
      </c>
      <c r="L150" s="12" t="b">
        <v>0</v>
      </c>
      <c r="M150">
        <f>MAX(Rezultati[[#This Row],[1.izpit]],Rezultati[[#This Row],[2.izpit]],Rezultati[[#This Row],[3.izpit]])</f>
        <v>95.5</v>
      </c>
      <c r="N150"/>
      <c r="O150">
        <f>Rezultati[[#This Row],[DN]]+Rezultati[[#This Row],[Max]]+Rezultati[[#This Row],[Bonus]]</f>
        <v>104.5</v>
      </c>
      <c r="P150" cm="1">
        <f t="array" ref="P150">_xlfn.XLOOKUP(Rezultati[[#This Row],[Skupaj]],_xlfn.XLOOKUP(Rezultati[[#This Row],[Program]],Kriterij[[#Headers],[APF]:[PED]],Kriterij[[APF]:[PED]]), Kriterij[Ocena], "", -1, 2)</f>
        <v>10</v>
      </c>
    </row>
    <row r="151" spans="2:16" x14ac:dyDescent="0.2">
      <c r="B151">
        <v>27000149</v>
      </c>
      <c r="C151" t="s">
        <v>11</v>
      </c>
      <c r="D151">
        <f>_xlfn.IFNA(_xlfn.XLOOKUP(Rezultati[[#This Row],[Vpisna]], DomaceNaloge[Vpisna],DomaceNaloge[Skupaj]), 0)</f>
        <v>8</v>
      </c>
      <c r="E151">
        <f>_xlfn.IFNA(_xlfn.XLOOKUP(Rezultati[[#This Row],[Vpisna]], Izpit1[Vpisna],Izpit1[Skupaj]), "")</f>
        <v>80</v>
      </c>
      <c r="F151" t="str">
        <f>_xlfn.IFNA(_xlfn.XLOOKUP(Rezultati[[#This Row],[Vpisna]], Izpit1[Vpisna],Izpit1[Računalnik]), "")</f>
        <v>svoj</v>
      </c>
      <c r="G151" s="12" t="b">
        <v>1</v>
      </c>
      <c r="H151" t="str">
        <f>_xlfn.IFNA(_xlfn.XLOOKUP(Rezultati[[#This Row],[Vpisna]], Izpit2[Vpisna],Izpit2[Skupaj]), "")</f>
        <v/>
      </c>
      <c r="I151" t="str">
        <f>_xlfn.IFNA(_xlfn.XLOOKUP(Rezultati[[#This Row],[Vpisna]], Izpit2[Vpisna],Izpit2[Računalnik]), "")</f>
        <v/>
      </c>
      <c r="J151" s="12" t="b">
        <v>0</v>
      </c>
      <c r="K151" t="str">
        <f>_xlfn.IFNA(_xlfn.XLOOKUP(Rezultati[[#This Row],[Vpisna]], Izpit3[Vpisna],Izpit3[Skupaj]), "")</f>
        <v/>
      </c>
      <c r="L151" s="12" t="b">
        <v>0</v>
      </c>
      <c r="M151">
        <f>MAX(Rezultati[[#This Row],[1.izpit]],Rezultati[[#This Row],[2.izpit]],Rezultati[[#This Row],[3.izpit]])</f>
        <v>80</v>
      </c>
      <c r="N151"/>
      <c r="O151">
        <f>Rezultati[[#This Row],[DN]]+Rezultati[[#This Row],[Max]]+Rezultati[[#This Row],[Bonus]]</f>
        <v>88</v>
      </c>
      <c r="P151" cm="1">
        <f t="array" ref="P151">_xlfn.XLOOKUP(Rezultati[[#This Row],[Skupaj]],_xlfn.XLOOKUP(Rezultati[[#This Row],[Program]],Kriterij[[#Headers],[APF]:[PED]],Kriterij[[APF]:[PED]]), Kriterij[Ocena], "", -1, 2)</f>
        <v>9</v>
      </c>
    </row>
    <row r="152" spans="2:16" x14ac:dyDescent="0.2">
      <c r="B152">
        <v>27000150</v>
      </c>
      <c r="C152" t="s">
        <v>11</v>
      </c>
      <c r="D152">
        <f>_xlfn.IFNA(_xlfn.XLOOKUP(Rezultati[[#This Row],[Vpisna]], DomaceNaloge[Vpisna],DomaceNaloge[Skupaj]), 0)</f>
        <v>0</v>
      </c>
      <c r="E152" t="str">
        <f>_xlfn.IFNA(_xlfn.XLOOKUP(Rezultati[[#This Row],[Vpisna]], Izpit1[Vpisna],Izpit1[Skupaj]), "")</f>
        <v/>
      </c>
      <c r="F152" t="str">
        <f>_xlfn.IFNA(_xlfn.XLOOKUP(Rezultati[[#This Row],[Vpisna]], Izpit1[Vpisna],Izpit1[Računalnik]), "")</f>
        <v/>
      </c>
      <c r="G152" s="12" t="b">
        <v>0</v>
      </c>
      <c r="H152" t="str">
        <f>_xlfn.IFNA(_xlfn.XLOOKUP(Rezultati[[#This Row],[Vpisna]], Izpit2[Vpisna],Izpit2[Skupaj]), "")</f>
        <v/>
      </c>
      <c r="I152" t="str">
        <f>_xlfn.IFNA(_xlfn.XLOOKUP(Rezultati[[#This Row],[Vpisna]], Izpit2[Vpisna],Izpit2[Računalnik]), "")</f>
        <v/>
      </c>
      <c r="J152" s="12" t="b">
        <v>0</v>
      </c>
      <c r="K152" t="str">
        <f>_xlfn.IFNA(_xlfn.XLOOKUP(Rezultati[[#This Row],[Vpisna]], Izpit3[Vpisna],Izpit3[Skupaj]), "")</f>
        <v/>
      </c>
      <c r="L152" s="12" t="b">
        <v>0</v>
      </c>
      <c r="M152">
        <f>MAX(Rezultati[[#This Row],[1.izpit]],Rezultati[[#This Row],[2.izpit]],Rezultati[[#This Row],[3.izpit]])</f>
        <v>0</v>
      </c>
      <c r="N152"/>
      <c r="O152">
        <f>Rezultati[[#This Row],[DN]]+Rezultati[[#This Row],[Max]]+Rezultati[[#This Row],[Bonus]]</f>
        <v>0</v>
      </c>
      <c r="P152" t="str" cm="1">
        <f t="array" ref="P152">_xlfn.XLOOKUP(Rezultati[[#This Row],[Skupaj]],_xlfn.XLOOKUP(Rezultati[[#This Row],[Program]],Kriterij[[#Headers],[APF]:[PED]],Kriterij[[APF]:[PED]]), Kriterij[Ocena], "", -1, 2)</f>
        <v/>
      </c>
    </row>
    <row r="153" spans="2:16" x14ac:dyDescent="0.2">
      <c r="B153">
        <v>27000151</v>
      </c>
      <c r="C153" t="s">
        <v>11</v>
      </c>
      <c r="D153">
        <f>_xlfn.IFNA(_xlfn.XLOOKUP(Rezultati[[#This Row],[Vpisna]], DomaceNaloge[Vpisna],DomaceNaloge[Skupaj]), 0)</f>
        <v>0</v>
      </c>
      <c r="E153" t="str">
        <f>_xlfn.IFNA(_xlfn.XLOOKUP(Rezultati[[#This Row],[Vpisna]], Izpit1[Vpisna],Izpit1[Skupaj]), "")</f>
        <v/>
      </c>
      <c r="F153" t="str">
        <f>_xlfn.IFNA(_xlfn.XLOOKUP(Rezultati[[#This Row],[Vpisna]], Izpit1[Vpisna],Izpit1[Računalnik]), "")</f>
        <v/>
      </c>
      <c r="G153" s="12" t="b">
        <v>0</v>
      </c>
      <c r="H153" t="str">
        <f>_xlfn.IFNA(_xlfn.XLOOKUP(Rezultati[[#This Row],[Vpisna]], Izpit2[Vpisna],Izpit2[Skupaj]), "")</f>
        <v/>
      </c>
      <c r="I153" t="str">
        <f>_xlfn.IFNA(_xlfn.XLOOKUP(Rezultati[[#This Row],[Vpisna]], Izpit2[Vpisna],Izpit2[Računalnik]), "")</f>
        <v/>
      </c>
      <c r="J153" s="12" t="b">
        <v>0</v>
      </c>
      <c r="K153" t="str">
        <f>_xlfn.IFNA(_xlfn.XLOOKUP(Rezultati[[#This Row],[Vpisna]], Izpit3[Vpisna],Izpit3[Skupaj]), "")</f>
        <v/>
      </c>
      <c r="L153" s="12" t="b">
        <v>0</v>
      </c>
      <c r="M153">
        <f>MAX(Rezultati[[#This Row],[1.izpit]],Rezultati[[#This Row],[2.izpit]],Rezultati[[#This Row],[3.izpit]])</f>
        <v>0</v>
      </c>
      <c r="N153"/>
      <c r="O153">
        <f>Rezultati[[#This Row],[DN]]+Rezultati[[#This Row],[Max]]+Rezultati[[#This Row],[Bonus]]</f>
        <v>0</v>
      </c>
      <c r="P153" t="str" cm="1">
        <f t="array" ref="P153">_xlfn.XLOOKUP(Rezultati[[#This Row],[Skupaj]],_xlfn.XLOOKUP(Rezultati[[#This Row],[Program]],Kriterij[[#Headers],[APF]:[PED]],Kriterij[[APF]:[PED]]), Kriterij[Ocena], "", -1, 2)</f>
        <v/>
      </c>
    </row>
    <row r="154" spans="2:16" x14ac:dyDescent="0.2">
      <c r="B154">
        <v>27000152</v>
      </c>
      <c r="C154" t="s">
        <v>11</v>
      </c>
      <c r="D154">
        <f>_xlfn.IFNA(_xlfn.XLOOKUP(Rezultati[[#This Row],[Vpisna]], DomaceNaloge[Vpisna],DomaceNaloge[Skupaj]), 0)</f>
        <v>8</v>
      </c>
      <c r="E154">
        <f>_xlfn.IFNA(_xlfn.XLOOKUP(Rezultati[[#This Row],[Vpisna]], Izpit1[Vpisna],Izpit1[Skupaj]), "")</f>
        <v>85.5</v>
      </c>
      <c r="F154" t="str">
        <f>_xlfn.IFNA(_xlfn.XLOOKUP(Rezultati[[#This Row],[Vpisna]], Izpit1[Vpisna],Izpit1[Računalnik]), "")</f>
        <v>šolski</v>
      </c>
      <c r="G154" s="12" t="b">
        <v>1</v>
      </c>
      <c r="H154" t="str">
        <f>_xlfn.IFNA(_xlfn.XLOOKUP(Rezultati[[#This Row],[Vpisna]], Izpit2[Vpisna],Izpit2[Skupaj]), "")</f>
        <v/>
      </c>
      <c r="I154" t="str">
        <f>_xlfn.IFNA(_xlfn.XLOOKUP(Rezultati[[#This Row],[Vpisna]], Izpit2[Vpisna],Izpit2[Računalnik]), "")</f>
        <v/>
      </c>
      <c r="J154" s="12" t="b">
        <v>0</v>
      </c>
      <c r="K154" t="str">
        <f>_xlfn.IFNA(_xlfn.XLOOKUP(Rezultati[[#This Row],[Vpisna]], Izpit3[Vpisna],Izpit3[Skupaj]), "")</f>
        <v/>
      </c>
      <c r="L154" s="12" t="b">
        <v>0</v>
      </c>
      <c r="M154">
        <f>MAX(Rezultati[[#This Row],[1.izpit]],Rezultati[[#This Row],[2.izpit]],Rezultati[[#This Row],[3.izpit]])</f>
        <v>85.5</v>
      </c>
      <c r="N154"/>
      <c r="O154">
        <f>Rezultati[[#This Row],[DN]]+Rezultati[[#This Row],[Max]]+Rezultati[[#This Row],[Bonus]]</f>
        <v>93.5</v>
      </c>
      <c r="P154" cm="1">
        <f t="array" ref="P154">_xlfn.XLOOKUP(Rezultati[[#This Row],[Skupaj]],_xlfn.XLOOKUP(Rezultati[[#This Row],[Program]],Kriterij[[#Headers],[APF]:[PED]],Kriterij[[APF]:[PED]]), Kriterij[Ocena], "", -1, 2)</f>
        <v>10</v>
      </c>
    </row>
    <row r="155" spans="2:16" x14ac:dyDescent="0.2">
      <c r="B155">
        <v>27000153</v>
      </c>
      <c r="C155" t="s">
        <v>11</v>
      </c>
      <c r="D155">
        <f>_xlfn.IFNA(_xlfn.XLOOKUP(Rezultati[[#This Row],[Vpisna]], DomaceNaloge[Vpisna],DomaceNaloge[Skupaj]), 0)</f>
        <v>0</v>
      </c>
      <c r="E155" t="str">
        <f>_xlfn.IFNA(_xlfn.XLOOKUP(Rezultati[[#This Row],[Vpisna]], Izpit1[Vpisna],Izpit1[Skupaj]), "")</f>
        <v/>
      </c>
      <c r="F155" t="str">
        <f>_xlfn.IFNA(_xlfn.XLOOKUP(Rezultati[[#This Row],[Vpisna]], Izpit1[Vpisna],Izpit1[Računalnik]), "")</f>
        <v/>
      </c>
      <c r="G155" s="12" t="b">
        <v>0</v>
      </c>
      <c r="H155" t="str">
        <f>_xlfn.IFNA(_xlfn.XLOOKUP(Rezultati[[#This Row],[Vpisna]], Izpit2[Vpisna],Izpit2[Skupaj]), "")</f>
        <v/>
      </c>
      <c r="I155" t="str">
        <f>_xlfn.IFNA(_xlfn.XLOOKUP(Rezultati[[#This Row],[Vpisna]], Izpit2[Vpisna],Izpit2[Računalnik]), "")</f>
        <v/>
      </c>
      <c r="J155" s="12" t="b">
        <v>0</v>
      </c>
      <c r="K155" t="str">
        <f>_xlfn.IFNA(_xlfn.XLOOKUP(Rezultati[[#This Row],[Vpisna]], Izpit3[Vpisna],Izpit3[Skupaj]), "")</f>
        <v/>
      </c>
      <c r="L155" s="12" t="b">
        <v>0</v>
      </c>
      <c r="M155">
        <f>MAX(Rezultati[[#This Row],[1.izpit]],Rezultati[[#This Row],[2.izpit]],Rezultati[[#This Row],[3.izpit]])</f>
        <v>0</v>
      </c>
      <c r="N155"/>
      <c r="O155">
        <f>Rezultati[[#This Row],[DN]]+Rezultati[[#This Row],[Max]]+Rezultati[[#This Row],[Bonus]]</f>
        <v>0</v>
      </c>
      <c r="P155" t="str" cm="1">
        <f t="array" ref="P155">_xlfn.XLOOKUP(Rezultati[[#This Row],[Skupaj]],_xlfn.XLOOKUP(Rezultati[[#This Row],[Program]],Kriterij[[#Headers],[APF]:[PED]],Kriterij[[APF]:[PED]]), Kriterij[Ocena], "", -1, 2)</f>
        <v/>
      </c>
    </row>
    <row r="156" spans="2:16" x14ac:dyDescent="0.2">
      <c r="B156">
        <v>27000154</v>
      </c>
      <c r="C156" t="s">
        <v>11</v>
      </c>
      <c r="D156">
        <f>_xlfn.IFNA(_xlfn.XLOOKUP(Rezultati[[#This Row],[Vpisna]], DomaceNaloge[Vpisna],DomaceNaloge[Skupaj]), 0)</f>
        <v>8</v>
      </c>
      <c r="E156">
        <f>_xlfn.IFNA(_xlfn.XLOOKUP(Rezultati[[#This Row],[Vpisna]], Izpit1[Vpisna],Izpit1[Skupaj]), "")</f>
        <v>95</v>
      </c>
      <c r="F156" t="str">
        <f>_xlfn.IFNA(_xlfn.XLOOKUP(Rezultati[[#This Row],[Vpisna]], Izpit1[Vpisna],Izpit1[Računalnik]), "")</f>
        <v>svoj</v>
      </c>
      <c r="G156" s="12" t="b">
        <v>1</v>
      </c>
      <c r="H156" t="str">
        <f>_xlfn.IFNA(_xlfn.XLOOKUP(Rezultati[[#This Row],[Vpisna]], Izpit2[Vpisna],Izpit2[Skupaj]), "")</f>
        <v/>
      </c>
      <c r="I156" t="str">
        <f>_xlfn.IFNA(_xlfn.XLOOKUP(Rezultati[[#This Row],[Vpisna]], Izpit2[Vpisna],Izpit2[Računalnik]), "")</f>
        <v/>
      </c>
      <c r="J156" s="12" t="b">
        <v>0</v>
      </c>
      <c r="K156" t="str">
        <f>_xlfn.IFNA(_xlfn.XLOOKUP(Rezultati[[#This Row],[Vpisna]], Izpit3[Vpisna],Izpit3[Skupaj]), "")</f>
        <v/>
      </c>
      <c r="L156" s="12" t="b">
        <v>0</v>
      </c>
      <c r="M156">
        <f>MAX(Rezultati[[#This Row],[1.izpit]],Rezultati[[#This Row],[2.izpit]],Rezultati[[#This Row],[3.izpit]])</f>
        <v>95</v>
      </c>
      <c r="N156"/>
      <c r="O156">
        <f>Rezultati[[#This Row],[DN]]+Rezultati[[#This Row],[Max]]+Rezultati[[#This Row],[Bonus]]</f>
        <v>103</v>
      </c>
      <c r="P156" cm="1">
        <f t="array" ref="P156">_xlfn.XLOOKUP(Rezultati[[#This Row],[Skupaj]],_xlfn.XLOOKUP(Rezultati[[#This Row],[Program]],Kriterij[[#Headers],[APF]:[PED]],Kriterij[[APF]:[PED]]), Kriterij[Ocena], "", -1, 2)</f>
        <v>10</v>
      </c>
    </row>
    <row r="157" spans="2:16" x14ac:dyDescent="0.2">
      <c r="B157">
        <v>27000155</v>
      </c>
      <c r="C157" t="s">
        <v>11</v>
      </c>
      <c r="D157">
        <f>_xlfn.IFNA(_xlfn.XLOOKUP(Rezultati[[#This Row],[Vpisna]], DomaceNaloge[Vpisna],DomaceNaloge[Skupaj]), 0)</f>
        <v>6</v>
      </c>
      <c r="E157">
        <f>_xlfn.IFNA(_xlfn.XLOOKUP(Rezultati[[#This Row],[Vpisna]], Izpit1[Vpisna],Izpit1[Skupaj]), "")</f>
        <v>54</v>
      </c>
      <c r="F157" t="str">
        <f>_xlfn.IFNA(_xlfn.XLOOKUP(Rezultati[[#This Row],[Vpisna]], Izpit1[Vpisna],Izpit1[Računalnik]), "")</f>
        <v>šolski</v>
      </c>
      <c r="G157" s="12" t="b">
        <v>1</v>
      </c>
      <c r="H157" t="str">
        <f>_xlfn.IFNA(_xlfn.XLOOKUP(Rezultati[[#This Row],[Vpisna]], Izpit2[Vpisna],Izpit2[Skupaj]), "")</f>
        <v/>
      </c>
      <c r="I157" t="str">
        <f>_xlfn.IFNA(_xlfn.XLOOKUP(Rezultati[[#This Row],[Vpisna]], Izpit2[Vpisna],Izpit2[Računalnik]), "")</f>
        <v/>
      </c>
      <c r="J157" s="12" t="b">
        <v>0</v>
      </c>
      <c r="K157" t="str">
        <f>_xlfn.IFNA(_xlfn.XLOOKUP(Rezultati[[#This Row],[Vpisna]], Izpit3[Vpisna],Izpit3[Skupaj]), "")</f>
        <v/>
      </c>
      <c r="L157" s="12" t="b">
        <v>0</v>
      </c>
      <c r="M157">
        <f>MAX(Rezultati[[#This Row],[1.izpit]],Rezultati[[#This Row],[2.izpit]],Rezultati[[#This Row],[3.izpit]])</f>
        <v>54</v>
      </c>
      <c r="N157"/>
      <c r="O157">
        <f>Rezultati[[#This Row],[DN]]+Rezultati[[#This Row],[Max]]+Rezultati[[#This Row],[Bonus]]</f>
        <v>60</v>
      </c>
      <c r="P157" cm="1">
        <f t="array" ref="P157">_xlfn.XLOOKUP(Rezultati[[#This Row],[Skupaj]],_xlfn.XLOOKUP(Rezultati[[#This Row],[Program]],Kriterij[[#Headers],[APF]:[PED]],Kriterij[[APF]:[PED]]), Kriterij[Ocena], "", -1, 2)</f>
        <v>7</v>
      </c>
    </row>
    <row r="158" spans="2:16" x14ac:dyDescent="0.2">
      <c r="B158">
        <v>27000156</v>
      </c>
      <c r="C158" t="s">
        <v>11</v>
      </c>
      <c r="D158">
        <f>_xlfn.IFNA(_xlfn.XLOOKUP(Rezultati[[#This Row],[Vpisna]], DomaceNaloge[Vpisna],DomaceNaloge[Skupaj]), 0)</f>
        <v>10</v>
      </c>
      <c r="E158">
        <f>_xlfn.IFNA(_xlfn.XLOOKUP(Rezultati[[#This Row],[Vpisna]], Izpit1[Vpisna],Izpit1[Skupaj]), "")</f>
        <v>91.5</v>
      </c>
      <c r="F158" t="str">
        <f>_xlfn.IFNA(_xlfn.XLOOKUP(Rezultati[[#This Row],[Vpisna]], Izpit1[Vpisna],Izpit1[Računalnik]), "")</f>
        <v>svoj</v>
      </c>
      <c r="G158" s="12" t="b">
        <v>1</v>
      </c>
      <c r="H158" t="str">
        <f>_xlfn.IFNA(_xlfn.XLOOKUP(Rezultati[[#This Row],[Vpisna]], Izpit2[Vpisna],Izpit2[Skupaj]), "")</f>
        <v/>
      </c>
      <c r="I158" t="str">
        <f>_xlfn.IFNA(_xlfn.XLOOKUP(Rezultati[[#This Row],[Vpisna]], Izpit2[Vpisna],Izpit2[Računalnik]), "")</f>
        <v/>
      </c>
      <c r="J158" s="12" t="b">
        <v>0</v>
      </c>
      <c r="K158" t="str">
        <f>_xlfn.IFNA(_xlfn.XLOOKUP(Rezultati[[#This Row],[Vpisna]], Izpit3[Vpisna],Izpit3[Skupaj]), "")</f>
        <v/>
      </c>
      <c r="L158" s="12" t="b">
        <v>0</v>
      </c>
      <c r="M158">
        <f>MAX(Rezultati[[#This Row],[1.izpit]],Rezultati[[#This Row],[2.izpit]],Rezultati[[#This Row],[3.izpit]])</f>
        <v>91.5</v>
      </c>
      <c r="N158"/>
      <c r="O158">
        <f>Rezultati[[#This Row],[DN]]+Rezultati[[#This Row],[Max]]+Rezultati[[#This Row],[Bonus]]</f>
        <v>101.5</v>
      </c>
      <c r="P158" cm="1">
        <f t="array" ref="P158">_xlfn.XLOOKUP(Rezultati[[#This Row],[Skupaj]],_xlfn.XLOOKUP(Rezultati[[#This Row],[Program]],Kriterij[[#Headers],[APF]:[PED]],Kriterij[[APF]:[PED]]), Kriterij[Ocena], "", -1, 2)</f>
        <v>10</v>
      </c>
    </row>
    <row r="159" spans="2:16" x14ac:dyDescent="0.2">
      <c r="B159">
        <v>27000157</v>
      </c>
      <c r="C159" t="s">
        <v>11</v>
      </c>
      <c r="D159">
        <f>_xlfn.IFNA(_xlfn.XLOOKUP(Rezultati[[#This Row],[Vpisna]], DomaceNaloge[Vpisna],DomaceNaloge[Skupaj]), 0)</f>
        <v>0</v>
      </c>
      <c r="E159" t="str">
        <f>_xlfn.IFNA(_xlfn.XLOOKUP(Rezultati[[#This Row],[Vpisna]], Izpit1[Vpisna],Izpit1[Skupaj]), "")</f>
        <v/>
      </c>
      <c r="F159" t="str">
        <f>_xlfn.IFNA(_xlfn.XLOOKUP(Rezultati[[#This Row],[Vpisna]], Izpit1[Vpisna],Izpit1[Računalnik]), "")</f>
        <v/>
      </c>
      <c r="G159" s="12" t="b">
        <v>0</v>
      </c>
      <c r="H159" t="str">
        <f>_xlfn.IFNA(_xlfn.XLOOKUP(Rezultati[[#This Row],[Vpisna]], Izpit2[Vpisna],Izpit2[Skupaj]), "")</f>
        <v/>
      </c>
      <c r="I159" t="str">
        <f>_xlfn.IFNA(_xlfn.XLOOKUP(Rezultati[[#This Row],[Vpisna]], Izpit2[Vpisna],Izpit2[Računalnik]), "")</f>
        <v/>
      </c>
      <c r="J159" s="12" t="b">
        <v>0</v>
      </c>
      <c r="K159" t="str">
        <f>_xlfn.IFNA(_xlfn.XLOOKUP(Rezultati[[#This Row],[Vpisna]], Izpit3[Vpisna],Izpit3[Skupaj]), "")</f>
        <v/>
      </c>
      <c r="L159" s="12" t="b">
        <v>0</v>
      </c>
      <c r="M159">
        <f>MAX(Rezultati[[#This Row],[1.izpit]],Rezultati[[#This Row],[2.izpit]],Rezultati[[#This Row],[3.izpit]])</f>
        <v>0</v>
      </c>
      <c r="N159"/>
      <c r="O159">
        <f>Rezultati[[#This Row],[DN]]+Rezultati[[#This Row],[Max]]+Rezultati[[#This Row],[Bonus]]</f>
        <v>0</v>
      </c>
      <c r="P159" t="str" cm="1">
        <f t="array" ref="P159">_xlfn.XLOOKUP(Rezultati[[#This Row],[Skupaj]],_xlfn.XLOOKUP(Rezultati[[#This Row],[Program]],Kriterij[[#Headers],[APF]:[PED]],Kriterij[[APF]:[PED]]), Kriterij[Ocena], "", -1, 2)</f>
        <v/>
      </c>
    </row>
    <row r="160" spans="2:16" x14ac:dyDescent="0.2">
      <c r="B160">
        <v>27000158</v>
      </c>
      <c r="C160" t="s">
        <v>11</v>
      </c>
      <c r="D160">
        <f>_xlfn.IFNA(_xlfn.XLOOKUP(Rezultati[[#This Row],[Vpisna]], DomaceNaloge[Vpisna],DomaceNaloge[Skupaj]), 0)</f>
        <v>0</v>
      </c>
      <c r="E160" t="str">
        <f>_xlfn.IFNA(_xlfn.XLOOKUP(Rezultati[[#This Row],[Vpisna]], Izpit1[Vpisna],Izpit1[Skupaj]), "")</f>
        <v/>
      </c>
      <c r="F160" t="str">
        <f>_xlfn.IFNA(_xlfn.XLOOKUP(Rezultati[[#This Row],[Vpisna]], Izpit1[Vpisna],Izpit1[Računalnik]), "")</f>
        <v/>
      </c>
      <c r="G160" s="12" t="b">
        <v>0</v>
      </c>
      <c r="H160" t="str">
        <f>_xlfn.IFNA(_xlfn.XLOOKUP(Rezultati[[#This Row],[Vpisna]], Izpit2[Vpisna],Izpit2[Skupaj]), "")</f>
        <v/>
      </c>
      <c r="I160" t="str">
        <f>_xlfn.IFNA(_xlfn.XLOOKUP(Rezultati[[#This Row],[Vpisna]], Izpit2[Vpisna],Izpit2[Računalnik]), "")</f>
        <v/>
      </c>
      <c r="J160" s="12" t="b">
        <v>0</v>
      </c>
      <c r="K160" t="str">
        <f>_xlfn.IFNA(_xlfn.XLOOKUP(Rezultati[[#This Row],[Vpisna]], Izpit3[Vpisna],Izpit3[Skupaj]), "")</f>
        <v/>
      </c>
      <c r="L160" s="12" t="b">
        <v>0</v>
      </c>
      <c r="M160">
        <f>MAX(Rezultati[[#This Row],[1.izpit]],Rezultati[[#This Row],[2.izpit]],Rezultati[[#This Row],[3.izpit]])</f>
        <v>0</v>
      </c>
      <c r="N160"/>
      <c r="O160">
        <f>Rezultati[[#This Row],[DN]]+Rezultati[[#This Row],[Max]]+Rezultati[[#This Row],[Bonus]]</f>
        <v>0</v>
      </c>
      <c r="P160" t="str" cm="1">
        <f t="array" ref="P160">_xlfn.XLOOKUP(Rezultati[[#This Row],[Skupaj]],_xlfn.XLOOKUP(Rezultati[[#This Row],[Program]],Kriterij[[#Headers],[APF]:[PED]],Kriterij[[APF]:[PED]]), Kriterij[Ocena], "", -1, 2)</f>
        <v/>
      </c>
    </row>
    <row r="161" spans="2:16" x14ac:dyDescent="0.2">
      <c r="B161">
        <v>27000159</v>
      </c>
      <c r="C161" t="s">
        <v>11</v>
      </c>
      <c r="D161">
        <f>_xlfn.IFNA(_xlfn.XLOOKUP(Rezultati[[#This Row],[Vpisna]], DomaceNaloge[Vpisna],DomaceNaloge[Skupaj]), 0)</f>
        <v>8</v>
      </c>
      <c r="E161">
        <f>_xlfn.IFNA(_xlfn.XLOOKUP(Rezultati[[#This Row],[Vpisna]], Izpit1[Vpisna],Izpit1[Skupaj]), "")</f>
        <v>0</v>
      </c>
      <c r="F161" t="str">
        <f>_xlfn.IFNA(_xlfn.XLOOKUP(Rezultati[[#This Row],[Vpisna]], Izpit1[Vpisna],Izpit1[Računalnik]), "")</f>
        <v>svoj</v>
      </c>
      <c r="G161" s="12" t="b">
        <v>1</v>
      </c>
      <c r="H161" t="str">
        <f>_xlfn.IFNA(_xlfn.XLOOKUP(Rezultati[[#This Row],[Vpisna]], Izpit2[Vpisna],Izpit2[Skupaj]), "")</f>
        <v/>
      </c>
      <c r="I161" t="str">
        <f>_xlfn.IFNA(_xlfn.XLOOKUP(Rezultati[[#This Row],[Vpisna]], Izpit2[Vpisna],Izpit2[Računalnik]), "")</f>
        <v/>
      </c>
      <c r="J161" s="12" t="b">
        <v>0</v>
      </c>
      <c r="K161" t="str">
        <f>_xlfn.IFNA(_xlfn.XLOOKUP(Rezultati[[#This Row],[Vpisna]], Izpit3[Vpisna],Izpit3[Skupaj]), "")</f>
        <v/>
      </c>
      <c r="L161" s="12" t="b">
        <v>0</v>
      </c>
      <c r="M161">
        <f>MAX(Rezultati[[#This Row],[1.izpit]],Rezultati[[#This Row],[2.izpit]],Rezultati[[#This Row],[3.izpit]])</f>
        <v>0</v>
      </c>
      <c r="N161"/>
      <c r="O161">
        <f>Rezultati[[#This Row],[DN]]+Rezultati[[#This Row],[Max]]+Rezultati[[#This Row],[Bonus]]</f>
        <v>8</v>
      </c>
      <c r="P161" cm="1">
        <f t="array" ref="P161">_xlfn.XLOOKUP(Rezultati[[#This Row],[Skupaj]],_xlfn.XLOOKUP(Rezultati[[#This Row],[Program]],Kriterij[[#Headers],[APF]:[PED]],Kriterij[[APF]:[PED]]), Kriterij[Ocena], "", -1, 2)</f>
        <v>5</v>
      </c>
    </row>
    <row r="162" spans="2:16" x14ac:dyDescent="0.2">
      <c r="B162">
        <v>27000160</v>
      </c>
      <c r="C162" t="s">
        <v>11</v>
      </c>
      <c r="D162">
        <f>_xlfn.IFNA(_xlfn.XLOOKUP(Rezultati[[#This Row],[Vpisna]], DomaceNaloge[Vpisna],DomaceNaloge[Skupaj]), 0)</f>
        <v>9</v>
      </c>
      <c r="E162">
        <f>_xlfn.IFNA(_xlfn.XLOOKUP(Rezultati[[#This Row],[Vpisna]], Izpit1[Vpisna],Izpit1[Skupaj]), "")</f>
        <v>83.5</v>
      </c>
      <c r="F162" t="str">
        <f>_xlfn.IFNA(_xlfn.XLOOKUP(Rezultati[[#This Row],[Vpisna]], Izpit1[Vpisna],Izpit1[Računalnik]), "")</f>
        <v>šolski</v>
      </c>
      <c r="G162" s="12" t="b">
        <v>1</v>
      </c>
      <c r="H162" t="str">
        <f>_xlfn.IFNA(_xlfn.XLOOKUP(Rezultati[[#This Row],[Vpisna]], Izpit2[Vpisna],Izpit2[Skupaj]), "")</f>
        <v/>
      </c>
      <c r="I162" t="str">
        <f>_xlfn.IFNA(_xlfn.XLOOKUP(Rezultati[[#This Row],[Vpisna]], Izpit2[Vpisna],Izpit2[Računalnik]), "")</f>
        <v/>
      </c>
      <c r="J162" s="12" t="b">
        <v>0</v>
      </c>
      <c r="K162" t="str">
        <f>_xlfn.IFNA(_xlfn.XLOOKUP(Rezultati[[#This Row],[Vpisna]], Izpit3[Vpisna],Izpit3[Skupaj]), "")</f>
        <v/>
      </c>
      <c r="L162" s="12" t="b">
        <v>0</v>
      </c>
      <c r="M162">
        <f>MAX(Rezultati[[#This Row],[1.izpit]],Rezultati[[#This Row],[2.izpit]],Rezultati[[#This Row],[3.izpit]])</f>
        <v>83.5</v>
      </c>
      <c r="N162"/>
      <c r="O162">
        <f>Rezultati[[#This Row],[DN]]+Rezultati[[#This Row],[Max]]+Rezultati[[#This Row],[Bonus]]</f>
        <v>92.5</v>
      </c>
      <c r="P162" cm="1">
        <f t="array" ref="P162">_xlfn.XLOOKUP(Rezultati[[#This Row],[Skupaj]],_xlfn.XLOOKUP(Rezultati[[#This Row],[Program]],Kriterij[[#Headers],[APF]:[PED]],Kriterij[[APF]:[PED]]), Kriterij[Ocena], "", -1, 2)</f>
        <v>10</v>
      </c>
    </row>
    <row r="163" spans="2:16" x14ac:dyDescent="0.2">
      <c r="B163">
        <v>27000161</v>
      </c>
      <c r="C163" t="s">
        <v>11</v>
      </c>
      <c r="D163">
        <f>_xlfn.IFNA(_xlfn.XLOOKUP(Rezultati[[#This Row],[Vpisna]], DomaceNaloge[Vpisna],DomaceNaloge[Skupaj]), 0)</f>
        <v>0</v>
      </c>
      <c r="E163" t="str">
        <f>_xlfn.IFNA(_xlfn.XLOOKUP(Rezultati[[#This Row],[Vpisna]], Izpit1[Vpisna],Izpit1[Skupaj]), "")</f>
        <v/>
      </c>
      <c r="F163" t="str">
        <f>_xlfn.IFNA(_xlfn.XLOOKUP(Rezultati[[#This Row],[Vpisna]], Izpit1[Vpisna],Izpit1[Računalnik]), "")</f>
        <v/>
      </c>
      <c r="G163" s="12" t="b">
        <v>0</v>
      </c>
      <c r="H163" t="str">
        <f>_xlfn.IFNA(_xlfn.XLOOKUP(Rezultati[[#This Row],[Vpisna]], Izpit2[Vpisna],Izpit2[Skupaj]), "")</f>
        <v/>
      </c>
      <c r="I163" t="str">
        <f>_xlfn.IFNA(_xlfn.XLOOKUP(Rezultati[[#This Row],[Vpisna]], Izpit2[Vpisna],Izpit2[Računalnik]), "")</f>
        <v/>
      </c>
      <c r="J163" s="12" t="b">
        <v>0</v>
      </c>
      <c r="K163" t="str">
        <f>_xlfn.IFNA(_xlfn.XLOOKUP(Rezultati[[#This Row],[Vpisna]], Izpit3[Vpisna],Izpit3[Skupaj]), "")</f>
        <v/>
      </c>
      <c r="L163" s="12" t="b">
        <v>0</v>
      </c>
      <c r="M163">
        <f>MAX(Rezultati[[#This Row],[1.izpit]],Rezultati[[#This Row],[2.izpit]],Rezultati[[#This Row],[3.izpit]])</f>
        <v>0</v>
      </c>
      <c r="N163"/>
      <c r="O163">
        <f>Rezultati[[#This Row],[DN]]+Rezultati[[#This Row],[Max]]+Rezultati[[#This Row],[Bonus]]</f>
        <v>0</v>
      </c>
      <c r="P163" t="str" cm="1">
        <f t="array" ref="P163">_xlfn.XLOOKUP(Rezultati[[#This Row],[Skupaj]],_xlfn.XLOOKUP(Rezultati[[#This Row],[Program]],Kriterij[[#Headers],[APF]:[PED]],Kriterij[[APF]:[PED]]), Kriterij[Ocena], "", -1, 2)</f>
        <v/>
      </c>
    </row>
    <row r="164" spans="2:16" x14ac:dyDescent="0.2">
      <c r="B164">
        <v>27000162</v>
      </c>
      <c r="C164" t="s">
        <v>11</v>
      </c>
      <c r="D164">
        <f>_xlfn.IFNA(_xlfn.XLOOKUP(Rezultati[[#This Row],[Vpisna]], DomaceNaloge[Vpisna],DomaceNaloge[Skupaj]), 0)</f>
        <v>8</v>
      </c>
      <c r="E164">
        <f>_xlfn.IFNA(_xlfn.XLOOKUP(Rezultati[[#This Row],[Vpisna]], Izpit1[Vpisna],Izpit1[Skupaj]), "")</f>
        <v>65.5</v>
      </c>
      <c r="F164" t="str">
        <f>_xlfn.IFNA(_xlfn.XLOOKUP(Rezultati[[#This Row],[Vpisna]], Izpit1[Vpisna],Izpit1[Računalnik]), "")</f>
        <v>svoj</v>
      </c>
      <c r="G164" s="12" t="b">
        <v>1</v>
      </c>
      <c r="H164" t="str">
        <f>_xlfn.IFNA(_xlfn.XLOOKUP(Rezultati[[#This Row],[Vpisna]], Izpit2[Vpisna],Izpit2[Skupaj]), "")</f>
        <v/>
      </c>
      <c r="I164" t="str">
        <f>_xlfn.IFNA(_xlfn.XLOOKUP(Rezultati[[#This Row],[Vpisna]], Izpit2[Vpisna],Izpit2[Računalnik]), "")</f>
        <v/>
      </c>
      <c r="J164" s="12" t="b">
        <v>0</v>
      </c>
      <c r="K164" t="str">
        <f>_xlfn.IFNA(_xlfn.XLOOKUP(Rezultati[[#This Row],[Vpisna]], Izpit3[Vpisna],Izpit3[Skupaj]), "")</f>
        <v/>
      </c>
      <c r="L164" s="12" t="b">
        <v>0</v>
      </c>
      <c r="M164">
        <f>MAX(Rezultati[[#This Row],[1.izpit]],Rezultati[[#This Row],[2.izpit]],Rezultati[[#This Row],[3.izpit]])</f>
        <v>65.5</v>
      </c>
      <c r="N164"/>
      <c r="O164">
        <f>Rezultati[[#This Row],[DN]]+Rezultati[[#This Row],[Max]]+Rezultati[[#This Row],[Bonus]]</f>
        <v>73.5</v>
      </c>
      <c r="P164" cm="1">
        <f t="array" ref="P164">_xlfn.XLOOKUP(Rezultati[[#This Row],[Skupaj]],_xlfn.XLOOKUP(Rezultati[[#This Row],[Program]],Kriterij[[#Headers],[APF]:[PED]],Kriterij[[APF]:[PED]]), Kriterij[Ocena], "", -1, 2)</f>
        <v>8</v>
      </c>
    </row>
    <row r="165" spans="2:16" x14ac:dyDescent="0.2">
      <c r="B165">
        <v>27000163</v>
      </c>
      <c r="C165" t="s">
        <v>11</v>
      </c>
      <c r="D165">
        <f>_xlfn.IFNA(_xlfn.XLOOKUP(Rezultati[[#This Row],[Vpisna]], DomaceNaloge[Vpisna],DomaceNaloge[Skupaj]), 0)</f>
        <v>8</v>
      </c>
      <c r="E165">
        <f>_xlfn.IFNA(_xlfn.XLOOKUP(Rezultati[[#This Row],[Vpisna]], Izpit1[Vpisna],Izpit1[Skupaj]), "")</f>
        <v>51.5</v>
      </c>
      <c r="F165" t="str">
        <f>_xlfn.IFNA(_xlfn.XLOOKUP(Rezultati[[#This Row],[Vpisna]], Izpit1[Vpisna],Izpit1[Računalnik]), "")</f>
        <v>svoj</v>
      </c>
      <c r="G165" s="12" t="b">
        <v>1</v>
      </c>
      <c r="H165" t="str">
        <f>_xlfn.IFNA(_xlfn.XLOOKUP(Rezultati[[#This Row],[Vpisna]], Izpit2[Vpisna],Izpit2[Skupaj]), "")</f>
        <v/>
      </c>
      <c r="I165" t="str">
        <f>_xlfn.IFNA(_xlfn.XLOOKUP(Rezultati[[#This Row],[Vpisna]], Izpit2[Vpisna],Izpit2[Računalnik]), "")</f>
        <v/>
      </c>
      <c r="J165" s="12" t="b">
        <v>0</v>
      </c>
      <c r="K165" t="str">
        <f>_xlfn.IFNA(_xlfn.XLOOKUP(Rezultati[[#This Row],[Vpisna]], Izpit3[Vpisna],Izpit3[Skupaj]), "")</f>
        <v/>
      </c>
      <c r="L165" s="12" t="b">
        <v>0</v>
      </c>
      <c r="M165">
        <f>MAX(Rezultati[[#This Row],[1.izpit]],Rezultati[[#This Row],[2.izpit]],Rezultati[[#This Row],[3.izpit]])</f>
        <v>51.5</v>
      </c>
      <c r="N165"/>
      <c r="O165">
        <f>Rezultati[[#This Row],[DN]]+Rezultati[[#This Row],[Max]]+Rezultati[[#This Row],[Bonus]]</f>
        <v>59.5</v>
      </c>
      <c r="P165" cm="1">
        <f t="array" ref="P165">_xlfn.XLOOKUP(Rezultati[[#This Row],[Skupaj]],_xlfn.XLOOKUP(Rezultati[[#This Row],[Program]],Kriterij[[#Headers],[APF]:[PED]],Kriterij[[APF]:[PED]]), Kriterij[Ocena], "", -1, 2)</f>
        <v>6</v>
      </c>
    </row>
    <row r="166" spans="2:16" x14ac:dyDescent="0.2">
      <c r="B166">
        <v>27000164</v>
      </c>
      <c r="C166" t="s">
        <v>11</v>
      </c>
      <c r="D166">
        <f>_xlfn.IFNA(_xlfn.XLOOKUP(Rezultati[[#This Row],[Vpisna]], DomaceNaloge[Vpisna],DomaceNaloge[Skupaj]), 0)</f>
        <v>9</v>
      </c>
      <c r="E166">
        <f>_xlfn.IFNA(_xlfn.XLOOKUP(Rezultati[[#This Row],[Vpisna]], Izpit1[Vpisna],Izpit1[Skupaj]), "")</f>
        <v>92</v>
      </c>
      <c r="F166" t="str">
        <f>_xlfn.IFNA(_xlfn.XLOOKUP(Rezultati[[#This Row],[Vpisna]], Izpit1[Vpisna],Izpit1[Računalnik]), "")</f>
        <v>šolski</v>
      </c>
      <c r="G166" s="12" t="b">
        <v>1</v>
      </c>
      <c r="H166" t="str">
        <f>_xlfn.IFNA(_xlfn.XLOOKUP(Rezultati[[#This Row],[Vpisna]], Izpit2[Vpisna],Izpit2[Skupaj]), "")</f>
        <v/>
      </c>
      <c r="I166" t="str">
        <f>_xlfn.IFNA(_xlfn.XLOOKUP(Rezultati[[#This Row],[Vpisna]], Izpit2[Vpisna],Izpit2[Računalnik]), "")</f>
        <v/>
      </c>
      <c r="J166" s="12" t="b">
        <v>0</v>
      </c>
      <c r="K166" t="str">
        <f>_xlfn.IFNA(_xlfn.XLOOKUP(Rezultati[[#This Row],[Vpisna]], Izpit3[Vpisna],Izpit3[Skupaj]), "")</f>
        <v/>
      </c>
      <c r="L166" s="12" t="b">
        <v>0</v>
      </c>
      <c r="M166">
        <f>MAX(Rezultati[[#This Row],[1.izpit]],Rezultati[[#This Row],[2.izpit]],Rezultati[[#This Row],[3.izpit]])</f>
        <v>92</v>
      </c>
      <c r="N166"/>
      <c r="O166">
        <f>Rezultati[[#This Row],[DN]]+Rezultati[[#This Row],[Max]]+Rezultati[[#This Row],[Bonus]]</f>
        <v>101</v>
      </c>
      <c r="P166" cm="1">
        <f t="array" ref="P166">_xlfn.XLOOKUP(Rezultati[[#This Row],[Skupaj]],_xlfn.XLOOKUP(Rezultati[[#This Row],[Program]],Kriterij[[#Headers],[APF]:[PED]],Kriterij[[APF]:[PED]]), Kriterij[Ocena], "", -1, 2)</f>
        <v>10</v>
      </c>
    </row>
    <row r="167" spans="2:16" x14ac:dyDescent="0.2">
      <c r="B167">
        <v>27000165</v>
      </c>
      <c r="C167" t="s">
        <v>11</v>
      </c>
      <c r="D167">
        <f>_xlfn.IFNA(_xlfn.XLOOKUP(Rezultati[[#This Row],[Vpisna]], DomaceNaloge[Vpisna],DomaceNaloge[Skupaj]), 0)</f>
        <v>7</v>
      </c>
      <c r="E167">
        <f>_xlfn.IFNA(_xlfn.XLOOKUP(Rezultati[[#This Row],[Vpisna]], Izpit1[Vpisna],Izpit1[Skupaj]), "")</f>
        <v>70</v>
      </c>
      <c r="F167" t="str">
        <f>_xlfn.IFNA(_xlfn.XLOOKUP(Rezultati[[#This Row],[Vpisna]], Izpit1[Vpisna],Izpit1[Računalnik]), "")</f>
        <v>šolski</v>
      </c>
      <c r="G167" s="12" t="b">
        <v>1</v>
      </c>
      <c r="H167" t="str">
        <f>_xlfn.IFNA(_xlfn.XLOOKUP(Rezultati[[#This Row],[Vpisna]], Izpit2[Vpisna],Izpit2[Skupaj]), "")</f>
        <v/>
      </c>
      <c r="I167" t="str">
        <f>_xlfn.IFNA(_xlfn.XLOOKUP(Rezultati[[#This Row],[Vpisna]], Izpit2[Vpisna],Izpit2[Računalnik]), "")</f>
        <v/>
      </c>
      <c r="J167" s="12" t="b">
        <v>0</v>
      </c>
      <c r="K167" t="str">
        <f>_xlfn.IFNA(_xlfn.XLOOKUP(Rezultati[[#This Row],[Vpisna]], Izpit3[Vpisna],Izpit3[Skupaj]), "")</f>
        <v/>
      </c>
      <c r="L167" s="12" t="b">
        <v>0</v>
      </c>
      <c r="M167">
        <f>MAX(Rezultati[[#This Row],[1.izpit]],Rezultati[[#This Row],[2.izpit]],Rezultati[[#This Row],[3.izpit]])</f>
        <v>70</v>
      </c>
      <c r="N167"/>
      <c r="O167">
        <f>Rezultati[[#This Row],[DN]]+Rezultati[[#This Row],[Max]]+Rezultati[[#This Row],[Bonus]]</f>
        <v>77</v>
      </c>
      <c r="P167" cm="1">
        <f t="array" ref="P167">_xlfn.XLOOKUP(Rezultati[[#This Row],[Skupaj]],_xlfn.XLOOKUP(Rezultati[[#This Row],[Program]],Kriterij[[#Headers],[APF]:[PED]],Kriterij[[APF]:[PED]]), Kriterij[Ocena], "", -1, 2)</f>
        <v>8</v>
      </c>
    </row>
    <row r="168" spans="2:16" x14ac:dyDescent="0.2">
      <c r="B168">
        <v>27000166</v>
      </c>
      <c r="C168" t="s">
        <v>11</v>
      </c>
      <c r="D168">
        <f>_xlfn.IFNA(_xlfn.XLOOKUP(Rezultati[[#This Row],[Vpisna]], DomaceNaloge[Vpisna],DomaceNaloge[Skupaj]), 0)</f>
        <v>9</v>
      </c>
      <c r="E168">
        <f>_xlfn.IFNA(_xlfn.XLOOKUP(Rezultati[[#This Row],[Vpisna]], Izpit1[Vpisna],Izpit1[Skupaj]), "")</f>
        <v>95</v>
      </c>
      <c r="F168" t="str">
        <f>_xlfn.IFNA(_xlfn.XLOOKUP(Rezultati[[#This Row],[Vpisna]], Izpit1[Vpisna],Izpit1[Računalnik]), "")</f>
        <v>šolski</v>
      </c>
      <c r="G168" s="12" t="b">
        <v>1</v>
      </c>
      <c r="H168" t="str">
        <f>_xlfn.IFNA(_xlfn.XLOOKUP(Rezultati[[#This Row],[Vpisna]], Izpit2[Vpisna],Izpit2[Skupaj]), "")</f>
        <v/>
      </c>
      <c r="I168" t="str">
        <f>_xlfn.IFNA(_xlfn.XLOOKUP(Rezultati[[#This Row],[Vpisna]], Izpit2[Vpisna],Izpit2[Računalnik]), "")</f>
        <v/>
      </c>
      <c r="J168" s="12" t="b">
        <v>0</v>
      </c>
      <c r="K168" t="str">
        <f>_xlfn.IFNA(_xlfn.XLOOKUP(Rezultati[[#This Row],[Vpisna]], Izpit3[Vpisna],Izpit3[Skupaj]), "")</f>
        <v/>
      </c>
      <c r="L168" s="12" t="b">
        <v>0</v>
      </c>
      <c r="M168">
        <f>MAX(Rezultati[[#This Row],[1.izpit]],Rezultati[[#This Row],[2.izpit]],Rezultati[[#This Row],[3.izpit]])</f>
        <v>95</v>
      </c>
      <c r="N168"/>
      <c r="O168">
        <f>Rezultati[[#This Row],[DN]]+Rezultati[[#This Row],[Max]]+Rezultati[[#This Row],[Bonus]]</f>
        <v>104</v>
      </c>
      <c r="P168" cm="1">
        <f t="array" ref="P168">_xlfn.XLOOKUP(Rezultati[[#This Row],[Skupaj]],_xlfn.XLOOKUP(Rezultati[[#This Row],[Program]],Kriterij[[#Headers],[APF]:[PED]],Kriterij[[APF]:[PED]]), Kriterij[Ocena], "", -1, 2)</f>
        <v>10</v>
      </c>
    </row>
    <row r="169" spans="2:16" x14ac:dyDescent="0.2">
      <c r="B169">
        <v>27000167</v>
      </c>
      <c r="C169" t="s">
        <v>11</v>
      </c>
      <c r="D169">
        <f>_xlfn.IFNA(_xlfn.XLOOKUP(Rezultati[[#This Row],[Vpisna]], DomaceNaloge[Vpisna],DomaceNaloge[Skupaj]), 0)</f>
        <v>7</v>
      </c>
      <c r="E169">
        <f>_xlfn.IFNA(_xlfn.XLOOKUP(Rezultati[[#This Row],[Vpisna]], Izpit1[Vpisna],Izpit1[Skupaj]), "")</f>
        <v>72</v>
      </c>
      <c r="F169" t="str">
        <f>_xlfn.IFNA(_xlfn.XLOOKUP(Rezultati[[#This Row],[Vpisna]], Izpit1[Vpisna],Izpit1[Računalnik]), "")</f>
        <v>svoj</v>
      </c>
      <c r="G169" s="12" t="b">
        <v>1</v>
      </c>
      <c r="H169" t="str">
        <f>_xlfn.IFNA(_xlfn.XLOOKUP(Rezultati[[#This Row],[Vpisna]], Izpit2[Vpisna],Izpit2[Skupaj]), "")</f>
        <v/>
      </c>
      <c r="I169" t="str">
        <f>_xlfn.IFNA(_xlfn.XLOOKUP(Rezultati[[#This Row],[Vpisna]], Izpit2[Vpisna],Izpit2[Računalnik]), "")</f>
        <v/>
      </c>
      <c r="J169" s="12" t="b">
        <v>0</v>
      </c>
      <c r="K169" t="str">
        <f>_xlfn.IFNA(_xlfn.XLOOKUP(Rezultati[[#This Row],[Vpisna]], Izpit3[Vpisna],Izpit3[Skupaj]), "")</f>
        <v/>
      </c>
      <c r="L169" s="12" t="b">
        <v>0</v>
      </c>
      <c r="M169">
        <f>MAX(Rezultati[[#This Row],[1.izpit]],Rezultati[[#This Row],[2.izpit]],Rezultati[[#This Row],[3.izpit]])</f>
        <v>72</v>
      </c>
      <c r="N169"/>
      <c r="O169">
        <f>Rezultati[[#This Row],[DN]]+Rezultati[[#This Row],[Max]]+Rezultati[[#This Row],[Bonus]]</f>
        <v>79</v>
      </c>
      <c r="P169" cm="1">
        <f t="array" ref="P169">_xlfn.XLOOKUP(Rezultati[[#This Row],[Skupaj]],_xlfn.XLOOKUP(Rezultati[[#This Row],[Program]],Kriterij[[#Headers],[APF]:[PED]],Kriterij[[APF]:[PED]]), Kriterij[Ocena], "", -1, 2)</f>
        <v>8</v>
      </c>
    </row>
    <row r="170" spans="2:16" x14ac:dyDescent="0.2">
      <c r="B170">
        <v>27000168</v>
      </c>
      <c r="C170" t="s">
        <v>11</v>
      </c>
      <c r="D170">
        <f>_xlfn.IFNA(_xlfn.XLOOKUP(Rezultati[[#This Row],[Vpisna]], DomaceNaloge[Vpisna],DomaceNaloge[Skupaj]), 0)</f>
        <v>0</v>
      </c>
      <c r="E170" t="str">
        <f>_xlfn.IFNA(_xlfn.XLOOKUP(Rezultati[[#This Row],[Vpisna]], Izpit1[Vpisna],Izpit1[Skupaj]), "")</f>
        <v/>
      </c>
      <c r="F170" t="str">
        <f>_xlfn.IFNA(_xlfn.XLOOKUP(Rezultati[[#This Row],[Vpisna]], Izpit1[Vpisna],Izpit1[Računalnik]), "")</f>
        <v/>
      </c>
      <c r="G170" s="12" t="b">
        <v>0</v>
      </c>
      <c r="H170" t="str">
        <f>_xlfn.IFNA(_xlfn.XLOOKUP(Rezultati[[#This Row],[Vpisna]], Izpit2[Vpisna],Izpit2[Skupaj]), "")</f>
        <v/>
      </c>
      <c r="I170" t="str">
        <f>_xlfn.IFNA(_xlfn.XLOOKUP(Rezultati[[#This Row],[Vpisna]], Izpit2[Vpisna],Izpit2[Računalnik]), "")</f>
        <v/>
      </c>
      <c r="J170" s="12" t="b">
        <v>0</v>
      </c>
      <c r="K170" t="str">
        <f>_xlfn.IFNA(_xlfn.XLOOKUP(Rezultati[[#This Row],[Vpisna]], Izpit3[Vpisna],Izpit3[Skupaj]), "")</f>
        <v/>
      </c>
      <c r="L170" s="12" t="b">
        <v>0</v>
      </c>
      <c r="M170">
        <f>MAX(Rezultati[[#This Row],[1.izpit]],Rezultati[[#This Row],[2.izpit]],Rezultati[[#This Row],[3.izpit]])</f>
        <v>0</v>
      </c>
      <c r="N170"/>
      <c r="O170">
        <f>Rezultati[[#This Row],[DN]]+Rezultati[[#This Row],[Max]]+Rezultati[[#This Row],[Bonus]]</f>
        <v>0</v>
      </c>
      <c r="P170" t="str" cm="1">
        <f t="array" ref="P170">_xlfn.XLOOKUP(Rezultati[[#This Row],[Skupaj]],_xlfn.XLOOKUP(Rezultati[[#This Row],[Program]],Kriterij[[#Headers],[APF]:[PED]],Kriterij[[APF]:[PED]]), Kriterij[Ocena], "", -1, 2)</f>
        <v/>
      </c>
    </row>
    <row r="171" spans="2:16" x14ac:dyDescent="0.2">
      <c r="B171">
        <v>27000169</v>
      </c>
      <c r="C171" t="s">
        <v>11</v>
      </c>
      <c r="D171">
        <f>_xlfn.IFNA(_xlfn.XLOOKUP(Rezultati[[#This Row],[Vpisna]], DomaceNaloge[Vpisna],DomaceNaloge[Skupaj]), 0)</f>
        <v>0</v>
      </c>
      <c r="E171" t="str">
        <f>_xlfn.IFNA(_xlfn.XLOOKUP(Rezultati[[#This Row],[Vpisna]], Izpit1[Vpisna],Izpit1[Skupaj]), "")</f>
        <v/>
      </c>
      <c r="F171" t="str">
        <f>_xlfn.IFNA(_xlfn.XLOOKUP(Rezultati[[#This Row],[Vpisna]], Izpit1[Vpisna],Izpit1[Računalnik]), "")</f>
        <v/>
      </c>
      <c r="G171" s="12" t="b">
        <v>0</v>
      </c>
      <c r="H171" t="str">
        <f>_xlfn.IFNA(_xlfn.XLOOKUP(Rezultati[[#This Row],[Vpisna]], Izpit2[Vpisna],Izpit2[Skupaj]), "")</f>
        <v/>
      </c>
      <c r="I171" t="str">
        <f>_xlfn.IFNA(_xlfn.XLOOKUP(Rezultati[[#This Row],[Vpisna]], Izpit2[Vpisna],Izpit2[Računalnik]), "")</f>
        <v/>
      </c>
      <c r="J171" s="12" t="b">
        <v>0</v>
      </c>
      <c r="K171" t="str">
        <f>_xlfn.IFNA(_xlfn.XLOOKUP(Rezultati[[#This Row],[Vpisna]], Izpit3[Vpisna],Izpit3[Skupaj]), "")</f>
        <v/>
      </c>
      <c r="L171" s="12" t="b">
        <v>0</v>
      </c>
      <c r="M171">
        <f>MAX(Rezultati[[#This Row],[1.izpit]],Rezultati[[#This Row],[2.izpit]],Rezultati[[#This Row],[3.izpit]])</f>
        <v>0</v>
      </c>
      <c r="N171"/>
      <c r="O171">
        <f>Rezultati[[#This Row],[DN]]+Rezultati[[#This Row],[Max]]+Rezultati[[#This Row],[Bonus]]</f>
        <v>0</v>
      </c>
      <c r="P171" t="str" cm="1">
        <f t="array" ref="P171">_xlfn.XLOOKUP(Rezultati[[#This Row],[Skupaj]],_xlfn.XLOOKUP(Rezultati[[#This Row],[Program]],Kriterij[[#Headers],[APF]:[PED]],Kriterij[[APF]:[PED]]), Kriterij[Ocena], "", -1, 2)</f>
        <v/>
      </c>
    </row>
    <row r="172" spans="2:16" x14ac:dyDescent="0.2">
      <c r="B172">
        <v>27000170</v>
      </c>
      <c r="C172" t="s">
        <v>11</v>
      </c>
      <c r="D172">
        <f>_xlfn.IFNA(_xlfn.XLOOKUP(Rezultati[[#This Row],[Vpisna]], DomaceNaloge[Vpisna],DomaceNaloge[Skupaj]), 0)</f>
        <v>0</v>
      </c>
      <c r="E172" t="str">
        <f>_xlfn.IFNA(_xlfn.XLOOKUP(Rezultati[[#This Row],[Vpisna]], Izpit1[Vpisna],Izpit1[Skupaj]), "")</f>
        <v/>
      </c>
      <c r="F172" t="str">
        <f>_xlfn.IFNA(_xlfn.XLOOKUP(Rezultati[[#This Row],[Vpisna]], Izpit1[Vpisna],Izpit1[Računalnik]), "")</f>
        <v/>
      </c>
      <c r="G172" s="12" t="b">
        <v>0</v>
      </c>
      <c r="H172" t="str">
        <f>_xlfn.IFNA(_xlfn.XLOOKUP(Rezultati[[#This Row],[Vpisna]], Izpit2[Vpisna],Izpit2[Skupaj]), "")</f>
        <v/>
      </c>
      <c r="I172" t="str">
        <f>_xlfn.IFNA(_xlfn.XLOOKUP(Rezultati[[#This Row],[Vpisna]], Izpit2[Vpisna],Izpit2[Računalnik]), "")</f>
        <v/>
      </c>
      <c r="J172" s="12" t="b">
        <v>0</v>
      </c>
      <c r="K172" t="str">
        <f>_xlfn.IFNA(_xlfn.XLOOKUP(Rezultati[[#This Row],[Vpisna]], Izpit3[Vpisna],Izpit3[Skupaj]), "")</f>
        <v/>
      </c>
      <c r="L172" s="12" t="b">
        <v>0</v>
      </c>
      <c r="M172">
        <f>MAX(Rezultati[[#This Row],[1.izpit]],Rezultati[[#This Row],[2.izpit]],Rezultati[[#This Row],[3.izpit]])</f>
        <v>0</v>
      </c>
      <c r="N172"/>
      <c r="O172">
        <f>Rezultati[[#This Row],[DN]]+Rezultati[[#This Row],[Max]]+Rezultati[[#This Row],[Bonus]]</f>
        <v>0</v>
      </c>
      <c r="P172" t="str" cm="1">
        <f t="array" ref="P172">_xlfn.XLOOKUP(Rezultati[[#This Row],[Skupaj]],_xlfn.XLOOKUP(Rezultati[[#This Row],[Program]],Kriterij[[#Headers],[APF]:[PED]],Kriterij[[APF]:[PED]]), Kriterij[Ocena], "", -1, 2)</f>
        <v/>
      </c>
    </row>
    <row r="173" spans="2:16" x14ac:dyDescent="0.2">
      <c r="B173">
        <v>27000171</v>
      </c>
      <c r="C173" t="s">
        <v>11</v>
      </c>
      <c r="D173">
        <f>_xlfn.IFNA(_xlfn.XLOOKUP(Rezultati[[#This Row],[Vpisna]], DomaceNaloge[Vpisna],DomaceNaloge[Skupaj]), 0)</f>
        <v>8</v>
      </c>
      <c r="E173">
        <f>_xlfn.IFNA(_xlfn.XLOOKUP(Rezultati[[#This Row],[Vpisna]], Izpit1[Vpisna],Izpit1[Skupaj]), "")</f>
        <v>53</v>
      </c>
      <c r="F173" t="str">
        <f>_xlfn.IFNA(_xlfn.XLOOKUP(Rezultati[[#This Row],[Vpisna]], Izpit1[Vpisna],Izpit1[Računalnik]), "")</f>
        <v>šolski</v>
      </c>
      <c r="G173" s="12" t="b">
        <v>1</v>
      </c>
      <c r="H173" t="str">
        <f>_xlfn.IFNA(_xlfn.XLOOKUP(Rezultati[[#This Row],[Vpisna]], Izpit2[Vpisna],Izpit2[Skupaj]), "")</f>
        <v/>
      </c>
      <c r="I173" t="str">
        <f>_xlfn.IFNA(_xlfn.XLOOKUP(Rezultati[[#This Row],[Vpisna]], Izpit2[Vpisna],Izpit2[Računalnik]), "")</f>
        <v/>
      </c>
      <c r="J173" s="12" t="b">
        <v>0</v>
      </c>
      <c r="K173" t="str">
        <f>_xlfn.IFNA(_xlfn.XLOOKUP(Rezultati[[#This Row],[Vpisna]], Izpit3[Vpisna],Izpit3[Skupaj]), "")</f>
        <v/>
      </c>
      <c r="L173" s="12" t="b">
        <v>0</v>
      </c>
      <c r="M173">
        <f>MAX(Rezultati[[#This Row],[1.izpit]],Rezultati[[#This Row],[2.izpit]],Rezultati[[#This Row],[3.izpit]])</f>
        <v>53</v>
      </c>
      <c r="N173"/>
      <c r="O173">
        <f>Rezultati[[#This Row],[DN]]+Rezultati[[#This Row],[Max]]+Rezultati[[#This Row],[Bonus]]</f>
        <v>61</v>
      </c>
      <c r="P173" cm="1">
        <f t="array" ref="P173">_xlfn.XLOOKUP(Rezultati[[#This Row],[Skupaj]],_xlfn.XLOOKUP(Rezultati[[#This Row],[Program]],Kriterij[[#Headers],[APF]:[PED]],Kriterij[[APF]:[PED]]), Kriterij[Ocena], "", -1, 2)</f>
        <v>7</v>
      </c>
    </row>
    <row r="174" spans="2:16" x14ac:dyDescent="0.2">
      <c r="B174">
        <v>27000172</v>
      </c>
      <c r="C174" t="s">
        <v>11</v>
      </c>
      <c r="D174">
        <f>_xlfn.IFNA(_xlfn.XLOOKUP(Rezultati[[#This Row],[Vpisna]], DomaceNaloge[Vpisna],DomaceNaloge[Skupaj]), 0)</f>
        <v>0</v>
      </c>
      <c r="E174" t="str">
        <f>_xlfn.IFNA(_xlfn.XLOOKUP(Rezultati[[#This Row],[Vpisna]], Izpit1[Vpisna],Izpit1[Skupaj]), "")</f>
        <v/>
      </c>
      <c r="F174" t="str">
        <f>_xlfn.IFNA(_xlfn.XLOOKUP(Rezultati[[#This Row],[Vpisna]], Izpit1[Vpisna],Izpit1[Računalnik]), "")</f>
        <v/>
      </c>
      <c r="G174" s="12" t="b">
        <v>0</v>
      </c>
      <c r="H174" t="str">
        <f>_xlfn.IFNA(_xlfn.XLOOKUP(Rezultati[[#This Row],[Vpisna]], Izpit2[Vpisna],Izpit2[Skupaj]), "")</f>
        <v/>
      </c>
      <c r="I174" t="str">
        <f>_xlfn.IFNA(_xlfn.XLOOKUP(Rezultati[[#This Row],[Vpisna]], Izpit2[Vpisna],Izpit2[Računalnik]), "")</f>
        <v/>
      </c>
      <c r="J174" s="12" t="b">
        <v>0</v>
      </c>
      <c r="K174" t="str">
        <f>_xlfn.IFNA(_xlfn.XLOOKUP(Rezultati[[#This Row],[Vpisna]], Izpit3[Vpisna],Izpit3[Skupaj]), "")</f>
        <v/>
      </c>
      <c r="L174" s="12" t="b">
        <v>0</v>
      </c>
      <c r="M174">
        <f>MAX(Rezultati[[#This Row],[1.izpit]],Rezultati[[#This Row],[2.izpit]],Rezultati[[#This Row],[3.izpit]])</f>
        <v>0</v>
      </c>
      <c r="N174"/>
      <c r="O174">
        <f>Rezultati[[#This Row],[DN]]+Rezultati[[#This Row],[Max]]+Rezultati[[#This Row],[Bonus]]</f>
        <v>0</v>
      </c>
      <c r="P174" t="str" cm="1">
        <f t="array" ref="P174">_xlfn.XLOOKUP(Rezultati[[#This Row],[Skupaj]],_xlfn.XLOOKUP(Rezultati[[#This Row],[Program]],Kriterij[[#Headers],[APF]:[PED]],Kriterij[[APF]:[PED]]), Kriterij[Ocena], "", -1, 2)</f>
        <v/>
      </c>
    </row>
    <row r="175" spans="2:16" x14ac:dyDescent="0.2">
      <c r="B175">
        <v>27000173</v>
      </c>
      <c r="C175" t="s">
        <v>11</v>
      </c>
      <c r="D175">
        <f>_xlfn.IFNA(_xlfn.XLOOKUP(Rezultati[[#This Row],[Vpisna]], DomaceNaloge[Vpisna],DomaceNaloge[Skupaj]), 0)</f>
        <v>9</v>
      </c>
      <c r="E175">
        <f>_xlfn.IFNA(_xlfn.XLOOKUP(Rezultati[[#This Row],[Vpisna]], Izpit1[Vpisna],Izpit1[Skupaj]), "")</f>
        <v>91</v>
      </c>
      <c r="F175" t="str">
        <f>_xlfn.IFNA(_xlfn.XLOOKUP(Rezultati[[#This Row],[Vpisna]], Izpit1[Vpisna],Izpit1[Računalnik]), "")</f>
        <v>svoj</v>
      </c>
      <c r="G175" s="12" t="b">
        <v>1</v>
      </c>
      <c r="H175" t="str">
        <f>_xlfn.IFNA(_xlfn.XLOOKUP(Rezultati[[#This Row],[Vpisna]], Izpit2[Vpisna],Izpit2[Skupaj]), "")</f>
        <v/>
      </c>
      <c r="I175" t="str">
        <f>_xlfn.IFNA(_xlfn.XLOOKUP(Rezultati[[#This Row],[Vpisna]], Izpit2[Vpisna],Izpit2[Računalnik]), "")</f>
        <v/>
      </c>
      <c r="J175" s="12" t="b">
        <v>0</v>
      </c>
      <c r="K175" t="str">
        <f>_xlfn.IFNA(_xlfn.XLOOKUP(Rezultati[[#This Row],[Vpisna]], Izpit3[Vpisna],Izpit3[Skupaj]), "")</f>
        <v/>
      </c>
      <c r="L175" s="12" t="b">
        <v>0</v>
      </c>
      <c r="M175">
        <f>MAX(Rezultati[[#This Row],[1.izpit]],Rezultati[[#This Row],[2.izpit]],Rezultati[[#This Row],[3.izpit]])</f>
        <v>91</v>
      </c>
      <c r="N175"/>
      <c r="O175">
        <f>Rezultati[[#This Row],[DN]]+Rezultati[[#This Row],[Max]]+Rezultati[[#This Row],[Bonus]]</f>
        <v>100</v>
      </c>
      <c r="P175" cm="1">
        <f t="array" ref="P175">_xlfn.XLOOKUP(Rezultati[[#This Row],[Skupaj]],_xlfn.XLOOKUP(Rezultati[[#This Row],[Program]],Kriterij[[#Headers],[APF]:[PED]],Kriterij[[APF]:[PED]]), Kriterij[Ocena], "", -1, 2)</f>
        <v>10</v>
      </c>
    </row>
    <row r="176" spans="2:16" x14ac:dyDescent="0.2">
      <c r="B176">
        <v>27000174</v>
      </c>
      <c r="C176" t="s">
        <v>11</v>
      </c>
      <c r="D176">
        <f>_xlfn.IFNA(_xlfn.XLOOKUP(Rezultati[[#This Row],[Vpisna]], DomaceNaloge[Vpisna],DomaceNaloge[Skupaj]), 0)</f>
        <v>0</v>
      </c>
      <c r="E176" t="str">
        <f>_xlfn.IFNA(_xlfn.XLOOKUP(Rezultati[[#This Row],[Vpisna]], Izpit1[Vpisna],Izpit1[Skupaj]), "")</f>
        <v/>
      </c>
      <c r="F176" t="str">
        <f>_xlfn.IFNA(_xlfn.XLOOKUP(Rezultati[[#This Row],[Vpisna]], Izpit1[Vpisna],Izpit1[Računalnik]), "")</f>
        <v/>
      </c>
      <c r="G176" s="12" t="b">
        <v>0</v>
      </c>
      <c r="H176" t="str">
        <f>_xlfn.IFNA(_xlfn.XLOOKUP(Rezultati[[#This Row],[Vpisna]], Izpit2[Vpisna],Izpit2[Skupaj]), "")</f>
        <v/>
      </c>
      <c r="I176" t="str">
        <f>_xlfn.IFNA(_xlfn.XLOOKUP(Rezultati[[#This Row],[Vpisna]], Izpit2[Vpisna],Izpit2[Računalnik]), "")</f>
        <v/>
      </c>
      <c r="J176" s="12" t="b">
        <v>0</v>
      </c>
      <c r="K176" t="str">
        <f>_xlfn.IFNA(_xlfn.XLOOKUP(Rezultati[[#This Row],[Vpisna]], Izpit3[Vpisna],Izpit3[Skupaj]), "")</f>
        <v/>
      </c>
      <c r="L176" s="12" t="b">
        <v>0</v>
      </c>
      <c r="M176">
        <f>MAX(Rezultati[[#This Row],[1.izpit]],Rezultati[[#This Row],[2.izpit]],Rezultati[[#This Row],[3.izpit]])</f>
        <v>0</v>
      </c>
      <c r="N176"/>
      <c r="O176">
        <f>Rezultati[[#This Row],[DN]]+Rezultati[[#This Row],[Max]]+Rezultati[[#This Row],[Bonus]]</f>
        <v>0</v>
      </c>
      <c r="P176" t="str" cm="1">
        <f t="array" ref="P176">_xlfn.XLOOKUP(Rezultati[[#This Row],[Skupaj]],_xlfn.XLOOKUP(Rezultati[[#This Row],[Program]],Kriterij[[#Headers],[APF]:[PED]],Kriterij[[APF]:[PED]]), Kriterij[Ocena], "", -1, 2)</f>
        <v/>
      </c>
    </row>
    <row r="177" spans="2:16" x14ac:dyDescent="0.2">
      <c r="B177">
        <v>27000175</v>
      </c>
      <c r="C177" t="s">
        <v>11</v>
      </c>
      <c r="D177">
        <f>_xlfn.IFNA(_xlfn.XLOOKUP(Rezultati[[#This Row],[Vpisna]], DomaceNaloge[Vpisna],DomaceNaloge[Skupaj]), 0)</f>
        <v>5</v>
      </c>
      <c r="E177" t="str">
        <f>_xlfn.IFNA(_xlfn.XLOOKUP(Rezultati[[#This Row],[Vpisna]], Izpit1[Vpisna],Izpit1[Skupaj]), "")</f>
        <v/>
      </c>
      <c r="F177" t="str">
        <f>_xlfn.IFNA(_xlfn.XLOOKUP(Rezultati[[#This Row],[Vpisna]], Izpit1[Vpisna],Izpit1[Računalnik]), "")</f>
        <v/>
      </c>
      <c r="G177" s="12" t="b">
        <v>0</v>
      </c>
      <c r="H177" t="str">
        <f>_xlfn.IFNA(_xlfn.XLOOKUP(Rezultati[[#This Row],[Vpisna]], Izpit2[Vpisna],Izpit2[Skupaj]), "")</f>
        <v/>
      </c>
      <c r="I177" t="str">
        <f>_xlfn.IFNA(_xlfn.XLOOKUP(Rezultati[[#This Row],[Vpisna]], Izpit2[Vpisna],Izpit2[Računalnik]), "")</f>
        <v/>
      </c>
      <c r="J177" s="12" t="b">
        <v>0</v>
      </c>
      <c r="K177" t="str">
        <f>_xlfn.IFNA(_xlfn.XLOOKUP(Rezultati[[#This Row],[Vpisna]], Izpit3[Vpisna],Izpit3[Skupaj]), "")</f>
        <v/>
      </c>
      <c r="L177" s="12" t="b">
        <v>0</v>
      </c>
      <c r="M177">
        <f>MAX(Rezultati[[#This Row],[1.izpit]],Rezultati[[#This Row],[2.izpit]],Rezultati[[#This Row],[3.izpit]])</f>
        <v>0</v>
      </c>
      <c r="N177"/>
      <c r="O177">
        <f>Rezultati[[#This Row],[DN]]+Rezultati[[#This Row],[Max]]+Rezultati[[#This Row],[Bonus]]</f>
        <v>5</v>
      </c>
      <c r="P177" cm="1">
        <f t="array" ref="P177">_xlfn.XLOOKUP(Rezultati[[#This Row],[Skupaj]],_xlfn.XLOOKUP(Rezultati[[#This Row],[Program]],Kriterij[[#Headers],[APF]:[PED]],Kriterij[[APF]:[PED]]), Kriterij[Ocena], "", -1, 2)</f>
        <v>5</v>
      </c>
    </row>
    <row r="178" spans="2:16" x14ac:dyDescent="0.2">
      <c r="B178">
        <v>27000176</v>
      </c>
      <c r="C178" t="s">
        <v>11</v>
      </c>
      <c r="D178">
        <f>_xlfn.IFNA(_xlfn.XLOOKUP(Rezultati[[#This Row],[Vpisna]], DomaceNaloge[Vpisna],DomaceNaloge[Skupaj]), 0)</f>
        <v>8</v>
      </c>
      <c r="E178">
        <f>_xlfn.IFNA(_xlfn.XLOOKUP(Rezultati[[#This Row],[Vpisna]], Izpit1[Vpisna],Izpit1[Skupaj]), "")</f>
        <v>70</v>
      </c>
      <c r="F178" t="str">
        <f>_xlfn.IFNA(_xlfn.XLOOKUP(Rezultati[[#This Row],[Vpisna]], Izpit1[Vpisna],Izpit1[Računalnik]), "")</f>
        <v>šolski</v>
      </c>
      <c r="G178" s="12" t="b">
        <v>1</v>
      </c>
      <c r="H178" t="str">
        <f>_xlfn.IFNA(_xlfn.XLOOKUP(Rezultati[[#This Row],[Vpisna]], Izpit2[Vpisna],Izpit2[Skupaj]), "")</f>
        <v/>
      </c>
      <c r="I178" t="str">
        <f>_xlfn.IFNA(_xlfn.XLOOKUP(Rezultati[[#This Row],[Vpisna]], Izpit2[Vpisna],Izpit2[Računalnik]), "")</f>
        <v/>
      </c>
      <c r="J178" s="12" t="b">
        <v>0</v>
      </c>
      <c r="K178" t="str">
        <f>_xlfn.IFNA(_xlfn.XLOOKUP(Rezultati[[#This Row],[Vpisna]], Izpit3[Vpisna],Izpit3[Skupaj]), "")</f>
        <v/>
      </c>
      <c r="L178" s="12" t="b">
        <v>0</v>
      </c>
      <c r="M178">
        <f>MAX(Rezultati[[#This Row],[1.izpit]],Rezultati[[#This Row],[2.izpit]],Rezultati[[#This Row],[3.izpit]])</f>
        <v>70</v>
      </c>
      <c r="N178"/>
      <c r="O178">
        <f>Rezultati[[#This Row],[DN]]+Rezultati[[#This Row],[Max]]+Rezultati[[#This Row],[Bonus]]</f>
        <v>78</v>
      </c>
      <c r="P178" cm="1">
        <f t="array" ref="P178">_xlfn.XLOOKUP(Rezultati[[#This Row],[Skupaj]],_xlfn.XLOOKUP(Rezultati[[#This Row],[Program]],Kriterij[[#Headers],[APF]:[PED]],Kriterij[[APF]:[PED]]), Kriterij[Ocena], "", -1, 2)</f>
        <v>8</v>
      </c>
    </row>
    <row r="179" spans="2:16" x14ac:dyDescent="0.2">
      <c r="B179">
        <v>27000177</v>
      </c>
      <c r="C179" t="s">
        <v>11</v>
      </c>
      <c r="D179">
        <f>_xlfn.IFNA(_xlfn.XLOOKUP(Rezultati[[#This Row],[Vpisna]], DomaceNaloge[Vpisna],DomaceNaloge[Skupaj]), 0)</f>
        <v>9</v>
      </c>
      <c r="E179">
        <f>_xlfn.IFNA(_xlfn.XLOOKUP(Rezultati[[#This Row],[Vpisna]], Izpit1[Vpisna],Izpit1[Skupaj]), "")</f>
        <v>93</v>
      </c>
      <c r="F179" t="str">
        <f>_xlfn.IFNA(_xlfn.XLOOKUP(Rezultati[[#This Row],[Vpisna]], Izpit1[Vpisna],Izpit1[Računalnik]), "")</f>
        <v>šolski</v>
      </c>
      <c r="G179" s="12" t="b">
        <v>1</v>
      </c>
      <c r="H179" t="str">
        <f>_xlfn.IFNA(_xlfn.XLOOKUP(Rezultati[[#This Row],[Vpisna]], Izpit2[Vpisna],Izpit2[Skupaj]), "")</f>
        <v/>
      </c>
      <c r="I179" t="str">
        <f>_xlfn.IFNA(_xlfn.XLOOKUP(Rezultati[[#This Row],[Vpisna]], Izpit2[Vpisna],Izpit2[Računalnik]), "")</f>
        <v/>
      </c>
      <c r="J179" s="12" t="b">
        <v>0</v>
      </c>
      <c r="K179" t="str">
        <f>_xlfn.IFNA(_xlfn.XLOOKUP(Rezultati[[#This Row],[Vpisna]], Izpit3[Vpisna],Izpit3[Skupaj]), "")</f>
        <v/>
      </c>
      <c r="L179" s="12" t="b">
        <v>0</v>
      </c>
      <c r="M179">
        <f>MAX(Rezultati[[#This Row],[1.izpit]],Rezultati[[#This Row],[2.izpit]],Rezultati[[#This Row],[3.izpit]])</f>
        <v>93</v>
      </c>
      <c r="N179"/>
      <c r="O179">
        <f>Rezultati[[#This Row],[DN]]+Rezultati[[#This Row],[Max]]+Rezultati[[#This Row],[Bonus]]</f>
        <v>102</v>
      </c>
      <c r="P179" cm="1">
        <f t="array" ref="P179">_xlfn.XLOOKUP(Rezultati[[#This Row],[Skupaj]],_xlfn.XLOOKUP(Rezultati[[#This Row],[Program]],Kriterij[[#Headers],[APF]:[PED]],Kriterij[[APF]:[PED]]), Kriterij[Ocena], "", -1, 2)</f>
        <v>10</v>
      </c>
    </row>
    <row r="180" spans="2:16" x14ac:dyDescent="0.2">
      <c r="B180">
        <v>27000178</v>
      </c>
      <c r="C180" t="s">
        <v>11</v>
      </c>
      <c r="D180">
        <f>_xlfn.IFNA(_xlfn.XLOOKUP(Rezultati[[#This Row],[Vpisna]], DomaceNaloge[Vpisna],DomaceNaloge[Skupaj]), 0)</f>
        <v>0</v>
      </c>
      <c r="E180" t="str">
        <f>_xlfn.IFNA(_xlfn.XLOOKUP(Rezultati[[#This Row],[Vpisna]], Izpit1[Vpisna],Izpit1[Skupaj]), "")</f>
        <v/>
      </c>
      <c r="F180" t="str">
        <f>_xlfn.IFNA(_xlfn.XLOOKUP(Rezultati[[#This Row],[Vpisna]], Izpit1[Vpisna],Izpit1[Računalnik]), "")</f>
        <v/>
      </c>
      <c r="G180" s="12" t="b">
        <v>0</v>
      </c>
      <c r="H180" t="str">
        <f>_xlfn.IFNA(_xlfn.XLOOKUP(Rezultati[[#This Row],[Vpisna]], Izpit2[Vpisna],Izpit2[Skupaj]), "")</f>
        <v/>
      </c>
      <c r="I180" t="str">
        <f>_xlfn.IFNA(_xlfn.XLOOKUP(Rezultati[[#This Row],[Vpisna]], Izpit2[Vpisna],Izpit2[Računalnik]), "")</f>
        <v/>
      </c>
      <c r="J180" s="12" t="b">
        <v>0</v>
      </c>
      <c r="K180" t="str">
        <f>_xlfn.IFNA(_xlfn.XLOOKUP(Rezultati[[#This Row],[Vpisna]], Izpit3[Vpisna],Izpit3[Skupaj]), "")</f>
        <v/>
      </c>
      <c r="L180" s="12" t="b">
        <v>0</v>
      </c>
      <c r="M180">
        <f>MAX(Rezultati[[#This Row],[1.izpit]],Rezultati[[#This Row],[2.izpit]],Rezultati[[#This Row],[3.izpit]])</f>
        <v>0</v>
      </c>
      <c r="N180"/>
      <c r="O180">
        <f>Rezultati[[#This Row],[DN]]+Rezultati[[#This Row],[Max]]+Rezultati[[#This Row],[Bonus]]</f>
        <v>0</v>
      </c>
      <c r="P180" t="str" cm="1">
        <f t="array" ref="P180">_xlfn.XLOOKUP(Rezultati[[#This Row],[Skupaj]],_xlfn.XLOOKUP(Rezultati[[#This Row],[Program]],Kriterij[[#Headers],[APF]:[PED]],Kriterij[[APF]:[PED]]), Kriterij[Ocena], "", -1, 2)</f>
        <v/>
      </c>
    </row>
    <row r="181" spans="2:16" x14ac:dyDescent="0.2">
      <c r="B181">
        <v>27000179</v>
      </c>
      <c r="C181" t="s">
        <v>11</v>
      </c>
      <c r="D181">
        <f>_xlfn.IFNA(_xlfn.XLOOKUP(Rezultati[[#This Row],[Vpisna]], DomaceNaloge[Vpisna],DomaceNaloge[Skupaj]), 0)</f>
        <v>8</v>
      </c>
      <c r="E181">
        <f>_xlfn.IFNA(_xlfn.XLOOKUP(Rezultati[[#This Row],[Vpisna]], Izpit1[Vpisna],Izpit1[Skupaj]), "")</f>
        <v>80</v>
      </c>
      <c r="F181" t="str">
        <f>_xlfn.IFNA(_xlfn.XLOOKUP(Rezultati[[#This Row],[Vpisna]], Izpit1[Vpisna],Izpit1[Računalnik]), "")</f>
        <v>šolski</v>
      </c>
      <c r="G181" s="12" t="b">
        <v>1</v>
      </c>
      <c r="H181" t="str">
        <f>_xlfn.IFNA(_xlfn.XLOOKUP(Rezultati[[#This Row],[Vpisna]], Izpit2[Vpisna],Izpit2[Skupaj]), "")</f>
        <v/>
      </c>
      <c r="I181" t="str">
        <f>_xlfn.IFNA(_xlfn.XLOOKUP(Rezultati[[#This Row],[Vpisna]], Izpit2[Vpisna],Izpit2[Računalnik]), "")</f>
        <v/>
      </c>
      <c r="J181" s="12" t="b">
        <v>0</v>
      </c>
      <c r="K181" t="str">
        <f>_xlfn.IFNA(_xlfn.XLOOKUP(Rezultati[[#This Row],[Vpisna]], Izpit3[Vpisna],Izpit3[Skupaj]), "")</f>
        <v/>
      </c>
      <c r="L181" s="12" t="b">
        <v>0</v>
      </c>
      <c r="M181">
        <f>MAX(Rezultati[[#This Row],[1.izpit]],Rezultati[[#This Row],[2.izpit]],Rezultati[[#This Row],[3.izpit]])</f>
        <v>80</v>
      </c>
      <c r="N181"/>
      <c r="O181">
        <f>Rezultati[[#This Row],[DN]]+Rezultati[[#This Row],[Max]]+Rezultati[[#This Row],[Bonus]]</f>
        <v>88</v>
      </c>
      <c r="P181" cm="1">
        <f t="array" ref="P181">_xlfn.XLOOKUP(Rezultati[[#This Row],[Skupaj]],_xlfn.XLOOKUP(Rezultati[[#This Row],[Program]],Kriterij[[#Headers],[APF]:[PED]],Kriterij[[APF]:[PED]]), Kriterij[Ocena], "", -1, 2)</f>
        <v>9</v>
      </c>
    </row>
    <row r="182" spans="2:16" x14ac:dyDescent="0.2">
      <c r="B182">
        <v>27000180</v>
      </c>
      <c r="C182" t="s">
        <v>11</v>
      </c>
      <c r="D182">
        <f>_xlfn.IFNA(_xlfn.XLOOKUP(Rezultati[[#This Row],[Vpisna]], DomaceNaloge[Vpisna],DomaceNaloge[Skupaj]), 0)</f>
        <v>0</v>
      </c>
      <c r="E182" t="str">
        <f>_xlfn.IFNA(_xlfn.XLOOKUP(Rezultati[[#This Row],[Vpisna]], Izpit1[Vpisna],Izpit1[Skupaj]), "")</f>
        <v/>
      </c>
      <c r="F182" t="str">
        <f>_xlfn.IFNA(_xlfn.XLOOKUP(Rezultati[[#This Row],[Vpisna]], Izpit1[Vpisna],Izpit1[Računalnik]), "")</f>
        <v/>
      </c>
      <c r="G182" s="12" t="b">
        <v>0</v>
      </c>
      <c r="H182" t="str">
        <f>_xlfn.IFNA(_xlfn.XLOOKUP(Rezultati[[#This Row],[Vpisna]], Izpit2[Vpisna],Izpit2[Skupaj]), "")</f>
        <v/>
      </c>
      <c r="I182" t="str">
        <f>_xlfn.IFNA(_xlfn.XLOOKUP(Rezultati[[#This Row],[Vpisna]], Izpit2[Vpisna],Izpit2[Računalnik]), "")</f>
        <v/>
      </c>
      <c r="J182" s="12" t="b">
        <v>0</v>
      </c>
      <c r="K182" t="str">
        <f>_xlfn.IFNA(_xlfn.XLOOKUP(Rezultati[[#This Row],[Vpisna]], Izpit3[Vpisna],Izpit3[Skupaj]), "")</f>
        <v/>
      </c>
      <c r="L182" s="12" t="b">
        <v>0</v>
      </c>
      <c r="M182">
        <f>MAX(Rezultati[[#This Row],[1.izpit]],Rezultati[[#This Row],[2.izpit]],Rezultati[[#This Row],[3.izpit]])</f>
        <v>0</v>
      </c>
      <c r="N182"/>
      <c r="O182">
        <f>Rezultati[[#This Row],[DN]]+Rezultati[[#This Row],[Max]]+Rezultati[[#This Row],[Bonus]]</f>
        <v>0</v>
      </c>
      <c r="P182" t="str" cm="1">
        <f t="array" ref="P182">_xlfn.XLOOKUP(Rezultati[[#This Row],[Skupaj]],_xlfn.XLOOKUP(Rezultati[[#This Row],[Program]],Kriterij[[#Headers],[APF]:[PED]],Kriterij[[APF]:[PED]]), Kriterij[Ocena], "", -1, 2)</f>
        <v/>
      </c>
    </row>
    <row r="183" spans="2:16" x14ac:dyDescent="0.2">
      <c r="B183">
        <v>27000181</v>
      </c>
      <c r="C183" t="s">
        <v>11</v>
      </c>
      <c r="D183">
        <f>_xlfn.IFNA(_xlfn.XLOOKUP(Rezultati[[#This Row],[Vpisna]], DomaceNaloge[Vpisna],DomaceNaloge[Skupaj]), 0)</f>
        <v>7</v>
      </c>
      <c r="E183">
        <f>_xlfn.IFNA(_xlfn.XLOOKUP(Rezultati[[#This Row],[Vpisna]], Izpit1[Vpisna],Izpit1[Skupaj]), "")</f>
        <v>65.5</v>
      </c>
      <c r="F183" t="str">
        <f>_xlfn.IFNA(_xlfn.XLOOKUP(Rezultati[[#This Row],[Vpisna]], Izpit1[Vpisna],Izpit1[Računalnik]), "")</f>
        <v>svoj</v>
      </c>
      <c r="G183" s="12" t="b">
        <v>1</v>
      </c>
      <c r="H183" t="str">
        <f>_xlfn.IFNA(_xlfn.XLOOKUP(Rezultati[[#This Row],[Vpisna]], Izpit2[Vpisna],Izpit2[Skupaj]), "")</f>
        <v/>
      </c>
      <c r="I183" t="str">
        <f>_xlfn.IFNA(_xlfn.XLOOKUP(Rezultati[[#This Row],[Vpisna]], Izpit2[Vpisna],Izpit2[Računalnik]), "")</f>
        <v/>
      </c>
      <c r="J183" s="12" t="b">
        <v>0</v>
      </c>
      <c r="K183" t="str">
        <f>_xlfn.IFNA(_xlfn.XLOOKUP(Rezultati[[#This Row],[Vpisna]], Izpit3[Vpisna],Izpit3[Skupaj]), "")</f>
        <v/>
      </c>
      <c r="L183" s="12" t="b">
        <v>0</v>
      </c>
      <c r="M183">
        <f>MAX(Rezultati[[#This Row],[1.izpit]],Rezultati[[#This Row],[2.izpit]],Rezultati[[#This Row],[3.izpit]])</f>
        <v>65.5</v>
      </c>
      <c r="N183"/>
      <c r="O183">
        <f>Rezultati[[#This Row],[DN]]+Rezultati[[#This Row],[Max]]+Rezultati[[#This Row],[Bonus]]</f>
        <v>72.5</v>
      </c>
      <c r="P183" cm="1">
        <f t="array" ref="P183">_xlfn.XLOOKUP(Rezultati[[#This Row],[Skupaj]],_xlfn.XLOOKUP(Rezultati[[#This Row],[Program]],Kriterij[[#Headers],[APF]:[PED]],Kriterij[[APF]:[PED]]), Kriterij[Ocena], "", -1, 2)</f>
        <v>8</v>
      </c>
    </row>
    <row r="184" spans="2:16" x14ac:dyDescent="0.2">
      <c r="B184">
        <v>27000182</v>
      </c>
      <c r="C184" t="s">
        <v>11</v>
      </c>
      <c r="D184">
        <f>_xlfn.IFNA(_xlfn.XLOOKUP(Rezultati[[#This Row],[Vpisna]], DomaceNaloge[Vpisna],DomaceNaloge[Skupaj]), 0)</f>
        <v>8</v>
      </c>
      <c r="E184">
        <f>_xlfn.IFNA(_xlfn.XLOOKUP(Rezultati[[#This Row],[Vpisna]], Izpit1[Vpisna],Izpit1[Skupaj]), "")</f>
        <v>60</v>
      </c>
      <c r="F184" t="str">
        <f>_xlfn.IFNA(_xlfn.XLOOKUP(Rezultati[[#This Row],[Vpisna]], Izpit1[Vpisna],Izpit1[Računalnik]), "")</f>
        <v>šolski</v>
      </c>
      <c r="G184" s="12" t="b">
        <v>1</v>
      </c>
      <c r="H184" t="str">
        <f>_xlfn.IFNA(_xlfn.XLOOKUP(Rezultati[[#This Row],[Vpisna]], Izpit2[Vpisna],Izpit2[Skupaj]), "")</f>
        <v/>
      </c>
      <c r="I184" t="str">
        <f>_xlfn.IFNA(_xlfn.XLOOKUP(Rezultati[[#This Row],[Vpisna]], Izpit2[Vpisna],Izpit2[Računalnik]), "")</f>
        <v/>
      </c>
      <c r="J184" s="12" t="b">
        <v>0</v>
      </c>
      <c r="K184" t="str">
        <f>_xlfn.IFNA(_xlfn.XLOOKUP(Rezultati[[#This Row],[Vpisna]], Izpit3[Vpisna],Izpit3[Skupaj]), "")</f>
        <v/>
      </c>
      <c r="L184" s="12" t="b">
        <v>0</v>
      </c>
      <c r="M184">
        <f>MAX(Rezultati[[#This Row],[1.izpit]],Rezultati[[#This Row],[2.izpit]],Rezultati[[#This Row],[3.izpit]])</f>
        <v>60</v>
      </c>
      <c r="N184"/>
      <c r="O184">
        <f>Rezultati[[#This Row],[DN]]+Rezultati[[#This Row],[Max]]+Rezultati[[#This Row],[Bonus]]</f>
        <v>68</v>
      </c>
      <c r="P184" cm="1">
        <f t="array" ref="P184">_xlfn.XLOOKUP(Rezultati[[#This Row],[Skupaj]],_xlfn.XLOOKUP(Rezultati[[#This Row],[Program]],Kriterij[[#Headers],[APF]:[PED]],Kriterij[[APF]:[PED]]), Kriterij[Ocena], "", -1, 2)</f>
        <v>7</v>
      </c>
    </row>
    <row r="185" spans="2:16" x14ac:dyDescent="0.2">
      <c r="B185">
        <v>27000183</v>
      </c>
      <c r="C185" t="s">
        <v>11</v>
      </c>
      <c r="D185">
        <f>_xlfn.IFNA(_xlfn.XLOOKUP(Rezultati[[#This Row],[Vpisna]], DomaceNaloge[Vpisna],DomaceNaloge[Skupaj]), 0)</f>
        <v>0</v>
      </c>
      <c r="E185" t="str">
        <f>_xlfn.IFNA(_xlfn.XLOOKUP(Rezultati[[#This Row],[Vpisna]], Izpit1[Vpisna],Izpit1[Skupaj]), "")</f>
        <v/>
      </c>
      <c r="F185" t="str">
        <f>_xlfn.IFNA(_xlfn.XLOOKUP(Rezultati[[#This Row],[Vpisna]], Izpit1[Vpisna],Izpit1[Računalnik]), "")</f>
        <v/>
      </c>
      <c r="G185" s="12" t="b">
        <v>0</v>
      </c>
      <c r="H185" t="str">
        <f>_xlfn.IFNA(_xlfn.XLOOKUP(Rezultati[[#This Row],[Vpisna]], Izpit2[Vpisna],Izpit2[Skupaj]), "")</f>
        <v/>
      </c>
      <c r="I185" t="str">
        <f>_xlfn.IFNA(_xlfn.XLOOKUP(Rezultati[[#This Row],[Vpisna]], Izpit2[Vpisna],Izpit2[Računalnik]), "")</f>
        <v/>
      </c>
      <c r="J185" s="12" t="b">
        <v>0</v>
      </c>
      <c r="K185" t="str">
        <f>_xlfn.IFNA(_xlfn.XLOOKUP(Rezultati[[#This Row],[Vpisna]], Izpit3[Vpisna],Izpit3[Skupaj]), "")</f>
        <v/>
      </c>
      <c r="L185" s="12" t="b">
        <v>0</v>
      </c>
      <c r="M185">
        <f>MAX(Rezultati[[#This Row],[1.izpit]],Rezultati[[#This Row],[2.izpit]],Rezultati[[#This Row],[3.izpit]])</f>
        <v>0</v>
      </c>
      <c r="N185"/>
      <c r="O185">
        <f>Rezultati[[#This Row],[DN]]+Rezultati[[#This Row],[Max]]+Rezultati[[#This Row],[Bonus]]</f>
        <v>0</v>
      </c>
      <c r="P185" t="str" cm="1">
        <f t="array" ref="P185">_xlfn.XLOOKUP(Rezultati[[#This Row],[Skupaj]],_xlfn.XLOOKUP(Rezultati[[#This Row],[Program]],Kriterij[[#Headers],[APF]:[PED]],Kriterij[[APF]:[PED]]), Kriterij[Ocena], "", -1, 2)</f>
        <v/>
      </c>
    </row>
    <row r="186" spans="2:16" x14ac:dyDescent="0.2">
      <c r="B186">
        <v>27000184</v>
      </c>
      <c r="C186" t="s">
        <v>11</v>
      </c>
      <c r="D186">
        <f>_xlfn.IFNA(_xlfn.XLOOKUP(Rezultati[[#This Row],[Vpisna]], DomaceNaloge[Vpisna],DomaceNaloge[Skupaj]), 0)</f>
        <v>0</v>
      </c>
      <c r="E186" t="str">
        <f>_xlfn.IFNA(_xlfn.XLOOKUP(Rezultati[[#This Row],[Vpisna]], Izpit1[Vpisna],Izpit1[Skupaj]), "")</f>
        <v/>
      </c>
      <c r="F186" t="str">
        <f>_xlfn.IFNA(_xlfn.XLOOKUP(Rezultati[[#This Row],[Vpisna]], Izpit1[Vpisna],Izpit1[Računalnik]), "")</f>
        <v/>
      </c>
      <c r="G186" s="12" t="b">
        <v>0</v>
      </c>
      <c r="H186" t="str">
        <f>_xlfn.IFNA(_xlfn.XLOOKUP(Rezultati[[#This Row],[Vpisna]], Izpit2[Vpisna],Izpit2[Skupaj]), "")</f>
        <v/>
      </c>
      <c r="I186" t="str">
        <f>_xlfn.IFNA(_xlfn.XLOOKUP(Rezultati[[#This Row],[Vpisna]], Izpit2[Vpisna],Izpit2[Računalnik]), "")</f>
        <v/>
      </c>
      <c r="J186" s="12" t="b">
        <v>0</v>
      </c>
      <c r="K186" t="str">
        <f>_xlfn.IFNA(_xlfn.XLOOKUP(Rezultati[[#This Row],[Vpisna]], Izpit3[Vpisna],Izpit3[Skupaj]), "")</f>
        <v/>
      </c>
      <c r="L186" s="12" t="b">
        <v>0</v>
      </c>
      <c r="M186">
        <f>MAX(Rezultati[[#This Row],[1.izpit]],Rezultati[[#This Row],[2.izpit]],Rezultati[[#This Row],[3.izpit]])</f>
        <v>0</v>
      </c>
      <c r="N186"/>
      <c r="O186">
        <f>Rezultati[[#This Row],[DN]]+Rezultati[[#This Row],[Max]]+Rezultati[[#This Row],[Bonus]]</f>
        <v>0</v>
      </c>
      <c r="P186" t="str" cm="1">
        <f t="array" ref="P186">_xlfn.XLOOKUP(Rezultati[[#This Row],[Skupaj]],_xlfn.XLOOKUP(Rezultati[[#This Row],[Program]],Kriterij[[#Headers],[APF]:[PED]],Kriterij[[APF]:[PED]]), Kriterij[Ocena], "", -1, 2)</f>
        <v/>
      </c>
    </row>
    <row r="187" spans="2:16" x14ac:dyDescent="0.2">
      <c r="B187">
        <v>27000185</v>
      </c>
      <c r="C187" t="s">
        <v>11</v>
      </c>
      <c r="D187">
        <f>_xlfn.IFNA(_xlfn.XLOOKUP(Rezultati[[#This Row],[Vpisna]], DomaceNaloge[Vpisna],DomaceNaloge[Skupaj]), 0)</f>
        <v>8</v>
      </c>
      <c r="E187" t="str">
        <f>_xlfn.IFNA(_xlfn.XLOOKUP(Rezultati[[#This Row],[Vpisna]], Izpit1[Vpisna],Izpit1[Skupaj]), "")</f>
        <v/>
      </c>
      <c r="F187" t="str">
        <f>_xlfn.IFNA(_xlfn.XLOOKUP(Rezultati[[#This Row],[Vpisna]], Izpit1[Vpisna],Izpit1[Računalnik]), "")</f>
        <v/>
      </c>
      <c r="G187" s="12" t="b">
        <v>0</v>
      </c>
      <c r="H187" t="str">
        <f>_xlfn.IFNA(_xlfn.XLOOKUP(Rezultati[[#This Row],[Vpisna]], Izpit2[Vpisna],Izpit2[Skupaj]), "")</f>
        <v/>
      </c>
      <c r="I187" t="str">
        <f>_xlfn.IFNA(_xlfn.XLOOKUP(Rezultati[[#This Row],[Vpisna]], Izpit2[Vpisna],Izpit2[Računalnik]), "")</f>
        <v/>
      </c>
      <c r="J187" s="12" t="b">
        <v>0</v>
      </c>
      <c r="K187" t="str">
        <f>_xlfn.IFNA(_xlfn.XLOOKUP(Rezultati[[#This Row],[Vpisna]], Izpit3[Vpisna],Izpit3[Skupaj]), "")</f>
        <v/>
      </c>
      <c r="L187" s="12" t="b">
        <v>0</v>
      </c>
      <c r="M187">
        <f>MAX(Rezultati[[#This Row],[1.izpit]],Rezultati[[#This Row],[2.izpit]],Rezultati[[#This Row],[3.izpit]])</f>
        <v>0</v>
      </c>
      <c r="N187"/>
      <c r="O187">
        <f>Rezultati[[#This Row],[DN]]+Rezultati[[#This Row],[Max]]+Rezultati[[#This Row],[Bonus]]</f>
        <v>8</v>
      </c>
      <c r="P187" cm="1">
        <f t="array" ref="P187">_xlfn.XLOOKUP(Rezultati[[#This Row],[Skupaj]],_xlfn.XLOOKUP(Rezultati[[#This Row],[Program]],Kriterij[[#Headers],[APF]:[PED]],Kriterij[[APF]:[PED]]), Kriterij[Ocena], "", -1, 2)</f>
        <v>5</v>
      </c>
    </row>
    <row r="188" spans="2:16" x14ac:dyDescent="0.2">
      <c r="B188">
        <v>27000186</v>
      </c>
      <c r="C188" t="s">
        <v>11</v>
      </c>
      <c r="D188">
        <f>_xlfn.IFNA(_xlfn.XLOOKUP(Rezultati[[#This Row],[Vpisna]], DomaceNaloge[Vpisna],DomaceNaloge[Skupaj]), 0)</f>
        <v>0</v>
      </c>
      <c r="E188" t="str">
        <f>_xlfn.IFNA(_xlfn.XLOOKUP(Rezultati[[#This Row],[Vpisna]], Izpit1[Vpisna],Izpit1[Skupaj]), "")</f>
        <v/>
      </c>
      <c r="F188" t="str">
        <f>_xlfn.IFNA(_xlfn.XLOOKUP(Rezultati[[#This Row],[Vpisna]], Izpit1[Vpisna],Izpit1[Računalnik]), "")</f>
        <v/>
      </c>
      <c r="G188" s="12" t="b">
        <v>0</v>
      </c>
      <c r="H188" t="str">
        <f>_xlfn.IFNA(_xlfn.XLOOKUP(Rezultati[[#This Row],[Vpisna]], Izpit2[Vpisna],Izpit2[Skupaj]), "")</f>
        <v/>
      </c>
      <c r="I188" t="str">
        <f>_xlfn.IFNA(_xlfn.XLOOKUP(Rezultati[[#This Row],[Vpisna]], Izpit2[Vpisna],Izpit2[Računalnik]), "")</f>
        <v/>
      </c>
      <c r="J188" s="12" t="b">
        <v>0</v>
      </c>
      <c r="K188" t="str">
        <f>_xlfn.IFNA(_xlfn.XLOOKUP(Rezultati[[#This Row],[Vpisna]], Izpit3[Vpisna],Izpit3[Skupaj]), "")</f>
        <v/>
      </c>
      <c r="L188" s="12" t="b">
        <v>0</v>
      </c>
      <c r="M188">
        <f>MAX(Rezultati[[#This Row],[1.izpit]],Rezultati[[#This Row],[2.izpit]],Rezultati[[#This Row],[3.izpit]])</f>
        <v>0</v>
      </c>
      <c r="N188"/>
      <c r="O188">
        <f>Rezultati[[#This Row],[DN]]+Rezultati[[#This Row],[Max]]+Rezultati[[#This Row],[Bonus]]</f>
        <v>0</v>
      </c>
      <c r="P188" t="str" cm="1">
        <f t="array" ref="P188">_xlfn.XLOOKUP(Rezultati[[#This Row],[Skupaj]],_xlfn.XLOOKUP(Rezultati[[#This Row],[Program]],Kriterij[[#Headers],[APF]:[PED]],Kriterij[[APF]:[PED]]), Kriterij[Ocena], "", -1, 2)</f>
        <v/>
      </c>
    </row>
    <row r="189" spans="2:16" x14ac:dyDescent="0.2">
      <c r="B189">
        <v>27000187</v>
      </c>
      <c r="C189" t="s">
        <v>11</v>
      </c>
      <c r="D189">
        <f>_xlfn.IFNA(_xlfn.XLOOKUP(Rezultati[[#This Row],[Vpisna]], DomaceNaloge[Vpisna],DomaceNaloge[Skupaj]), 0)</f>
        <v>9</v>
      </c>
      <c r="E189">
        <f>_xlfn.IFNA(_xlfn.XLOOKUP(Rezultati[[#This Row],[Vpisna]], Izpit1[Vpisna],Izpit1[Skupaj]), "")</f>
        <v>94</v>
      </c>
      <c r="F189" t="str">
        <f>_xlfn.IFNA(_xlfn.XLOOKUP(Rezultati[[#This Row],[Vpisna]], Izpit1[Vpisna],Izpit1[Računalnik]), "")</f>
        <v>svoj</v>
      </c>
      <c r="G189" s="12" t="b">
        <v>1</v>
      </c>
      <c r="H189" t="str">
        <f>_xlfn.IFNA(_xlfn.XLOOKUP(Rezultati[[#This Row],[Vpisna]], Izpit2[Vpisna],Izpit2[Skupaj]), "")</f>
        <v/>
      </c>
      <c r="I189" t="str">
        <f>_xlfn.IFNA(_xlfn.XLOOKUP(Rezultati[[#This Row],[Vpisna]], Izpit2[Vpisna],Izpit2[Računalnik]), "")</f>
        <v/>
      </c>
      <c r="J189" s="12" t="b">
        <v>0</v>
      </c>
      <c r="K189" t="str">
        <f>_xlfn.IFNA(_xlfn.XLOOKUP(Rezultati[[#This Row],[Vpisna]], Izpit3[Vpisna],Izpit3[Skupaj]), "")</f>
        <v/>
      </c>
      <c r="L189" s="12" t="b">
        <v>0</v>
      </c>
      <c r="M189">
        <f>MAX(Rezultati[[#This Row],[1.izpit]],Rezultati[[#This Row],[2.izpit]],Rezultati[[#This Row],[3.izpit]])</f>
        <v>94</v>
      </c>
      <c r="N189"/>
      <c r="O189">
        <f>Rezultati[[#This Row],[DN]]+Rezultati[[#This Row],[Max]]+Rezultati[[#This Row],[Bonus]]</f>
        <v>103</v>
      </c>
      <c r="P189" cm="1">
        <f t="array" ref="P189">_xlfn.XLOOKUP(Rezultati[[#This Row],[Skupaj]],_xlfn.XLOOKUP(Rezultati[[#This Row],[Program]],Kriterij[[#Headers],[APF]:[PED]],Kriterij[[APF]:[PED]]), Kriterij[Ocena], "", -1, 2)</f>
        <v>10</v>
      </c>
    </row>
    <row r="190" spans="2:16" x14ac:dyDescent="0.2">
      <c r="B190">
        <v>27000188</v>
      </c>
      <c r="C190" t="s">
        <v>11</v>
      </c>
      <c r="D190">
        <f>_xlfn.IFNA(_xlfn.XLOOKUP(Rezultati[[#This Row],[Vpisna]], DomaceNaloge[Vpisna],DomaceNaloge[Skupaj]), 0)</f>
        <v>8</v>
      </c>
      <c r="E190" t="str">
        <f>_xlfn.IFNA(_xlfn.XLOOKUP(Rezultati[[#This Row],[Vpisna]], Izpit1[Vpisna],Izpit1[Skupaj]), "")</f>
        <v/>
      </c>
      <c r="F190" t="str">
        <f>_xlfn.IFNA(_xlfn.XLOOKUP(Rezultati[[#This Row],[Vpisna]], Izpit1[Vpisna],Izpit1[Računalnik]), "")</f>
        <v/>
      </c>
      <c r="G190" s="12" t="b">
        <v>0</v>
      </c>
      <c r="H190" t="str">
        <f>_xlfn.IFNA(_xlfn.XLOOKUP(Rezultati[[#This Row],[Vpisna]], Izpit2[Vpisna],Izpit2[Skupaj]), "")</f>
        <v/>
      </c>
      <c r="I190" t="str">
        <f>_xlfn.IFNA(_xlfn.XLOOKUP(Rezultati[[#This Row],[Vpisna]], Izpit2[Vpisna],Izpit2[Računalnik]), "")</f>
        <v/>
      </c>
      <c r="J190" s="12" t="b">
        <v>0</v>
      </c>
      <c r="K190" t="str">
        <f>_xlfn.IFNA(_xlfn.XLOOKUP(Rezultati[[#This Row],[Vpisna]], Izpit3[Vpisna],Izpit3[Skupaj]), "")</f>
        <v/>
      </c>
      <c r="L190" s="12" t="b">
        <v>0</v>
      </c>
      <c r="M190">
        <f>MAX(Rezultati[[#This Row],[1.izpit]],Rezultati[[#This Row],[2.izpit]],Rezultati[[#This Row],[3.izpit]])</f>
        <v>0</v>
      </c>
      <c r="N190"/>
      <c r="O190">
        <f>Rezultati[[#This Row],[DN]]+Rezultati[[#This Row],[Max]]+Rezultati[[#This Row],[Bonus]]</f>
        <v>8</v>
      </c>
      <c r="P190" cm="1">
        <f t="array" ref="P190">_xlfn.XLOOKUP(Rezultati[[#This Row],[Skupaj]],_xlfn.XLOOKUP(Rezultati[[#This Row],[Program]],Kriterij[[#Headers],[APF]:[PED]],Kriterij[[APF]:[PED]]), Kriterij[Ocena], "", -1, 2)</f>
        <v>5</v>
      </c>
    </row>
    <row r="191" spans="2:16" x14ac:dyDescent="0.2">
      <c r="B191">
        <v>27000189</v>
      </c>
      <c r="C191" t="s">
        <v>11</v>
      </c>
      <c r="D191">
        <f>_xlfn.IFNA(_xlfn.XLOOKUP(Rezultati[[#This Row],[Vpisna]], DomaceNaloge[Vpisna],DomaceNaloge[Skupaj]), 0)</f>
        <v>8</v>
      </c>
      <c r="E191">
        <f>_xlfn.IFNA(_xlfn.XLOOKUP(Rezultati[[#This Row],[Vpisna]], Izpit1[Vpisna],Izpit1[Skupaj]), "")</f>
        <v>74</v>
      </c>
      <c r="F191" t="str">
        <f>_xlfn.IFNA(_xlfn.XLOOKUP(Rezultati[[#This Row],[Vpisna]], Izpit1[Vpisna],Izpit1[Računalnik]), "")</f>
        <v>svoj</v>
      </c>
      <c r="G191" s="12" t="b">
        <v>1</v>
      </c>
      <c r="H191" t="str">
        <f>_xlfn.IFNA(_xlfn.XLOOKUP(Rezultati[[#This Row],[Vpisna]], Izpit2[Vpisna],Izpit2[Skupaj]), "")</f>
        <v/>
      </c>
      <c r="I191" t="str">
        <f>_xlfn.IFNA(_xlfn.XLOOKUP(Rezultati[[#This Row],[Vpisna]], Izpit2[Vpisna],Izpit2[Računalnik]), "")</f>
        <v/>
      </c>
      <c r="J191" s="12" t="b">
        <v>0</v>
      </c>
      <c r="K191" t="str">
        <f>_xlfn.IFNA(_xlfn.XLOOKUP(Rezultati[[#This Row],[Vpisna]], Izpit3[Vpisna],Izpit3[Skupaj]), "")</f>
        <v/>
      </c>
      <c r="L191" s="12" t="b">
        <v>0</v>
      </c>
      <c r="M191">
        <f>MAX(Rezultati[[#This Row],[1.izpit]],Rezultati[[#This Row],[2.izpit]],Rezultati[[#This Row],[3.izpit]])</f>
        <v>74</v>
      </c>
      <c r="N191"/>
      <c r="O191">
        <f>Rezultati[[#This Row],[DN]]+Rezultati[[#This Row],[Max]]+Rezultati[[#This Row],[Bonus]]</f>
        <v>82</v>
      </c>
      <c r="P191" cm="1">
        <f t="array" ref="P191">_xlfn.XLOOKUP(Rezultati[[#This Row],[Skupaj]],_xlfn.XLOOKUP(Rezultati[[#This Row],[Program]],Kriterij[[#Headers],[APF]:[PED]],Kriterij[[APF]:[PED]]), Kriterij[Ocena], "", -1, 2)</f>
        <v>9</v>
      </c>
    </row>
    <row r="192" spans="2:16" x14ac:dyDescent="0.2">
      <c r="B192">
        <v>27000190</v>
      </c>
      <c r="C192" t="s">
        <v>11</v>
      </c>
      <c r="D192">
        <f>_xlfn.IFNA(_xlfn.XLOOKUP(Rezultati[[#This Row],[Vpisna]], DomaceNaloge[Vpisna],DomaceNaloge[Skupaj]), 0)</f>
        <v>9</v>
      </c>
      <c r="E192">
        <f>_xlfn.IFNA(_xlfn.XLOOKUP(Rezultati[[#This Row],[Vpisna]], Izpit1[Vpisna],Izpit1[Skupaj]), "")</f>
        <v>90</v>
      </c>
      <c r="F192" t="str">
        <f>_xlfn.IFNA(_xlfn.XLOOKUP(Rezultati[[#This Row],[Vpisna]], Izpit1[Vpisna],Izpit1[Računalnik]), "")</f>
        <v>svoj</v>
      </c>
      <c r="G192" s="12" t="b">
        <v>1</v>
      </c>
      <c r="H192" t="str">
        <f>_xlfn.IFNA(_xlfn.XLOOKUP(Rezultati[[#This Row],[Vpisna]], Izpit2[Vpisna],Izpit2[Skupaj]), "")</f>
        <v/>
      </c>
      <c r="I192" t="str">
        <f>_xlfn.IFNA(_xlfn.XLOOKUP(Rezultati[[#This Row],[Vpisna]], Izpit2[Vpisna],Izpit2[Računalnik]), "")</f>
        <v/>
      </c>
      <c r="J192" s="12" t="b">
        <v>0</v>
      </c>
      <c r="K192" t="str">
        <f>_xlfn.IFNA(_xlfn.XLOOKUP(Rezultati[[#This Row],[Vpisna]], Izpit3[Vpisna],Izpit3[Skupaj]), "")</f>
        <v/>
      </c>
      <c r="L192" s="12" t="b">
        <v>0</v>
      </c>
      <c r="M192">
        <f>MAX(Rezultati[[#This Row],[1.izpit]],Rezultati[[#This Row],[2.izpit]],Rezultati[[#This Row],[3.izpit]])</f>
        <v>90</v>
      </c>
      <c r="N192"/>
      <c r="O192">
        <f>Rezultati[[#This Row],[DN]]+Rezultati[[#This Row],[Max]]+Rezultati[[#This Row],[Bonus]]</f>
        <v>99</v>
      </c>
      <c r="P192" cm="1">
        <f t="array" ref="P192">_xlfn.XLOOKUP(Rezultati[[#This Row],[Skupaj]],_xlfn.XLOOKUP(Rezultati[[#This Row],[Program]],Kriterij[[#Headers],[APF]:[PED]],Kriterij[[APF]:[PED]]), Kriterij[Ocena], "", -1, 2)</f>
        <v>10</v>
      </c>
    </row>
    <row r="193" spans="2:16" x14ac:dyDescent="0.2">
      <c r="B193">
        <v>27000191</v>
      </c>
      <c r="C193" t="s">
        <v>11</v>
      </c>
      <c r="D193">
        <f>_xlfn.IFNA(_xlfn.XLOOKUP(Rezultati[[#This Row],[Vpisna]], DomaceNaloge[Vpisna],DomaceNaloge[Skupaj]), 0)</f>
        <v>8</v>
      </c>
      <c r="E193">
        <f>_xlfn.IFNA(_xlfn.XLOOKUP(Rezultati[[#This Row],[Vpisna]], Izpit1[Vpisna],Izpit1[Skupaj]), "")</f>
        <v>0</v>
      </c>
      <c r="F193" t="str">
        <f>_xlfn.IFNA(_xlfn.XLOOKUP(Rezultati[[#This Row],[Vpisna]], Izpit1[Vpisna],Izpit1[Računalnik]), "")</f>
        <v>šolski</v>
      </c>
      <c r="G193" s="12" t="b">
        <v>1</v>
      </c>
      <c r="H193">
        <f>_xlfn.IFNA(_xlfn.XLOOKUP(Rezultati[[#This Row],[Vpisna]], Izpit2[Vpisna],Izpit2[Skupaj]), "")</f>
        <v>60</v>
      </c>
      <c r="I193" t="str">
        <f>_xlfn.IFNA(_xlfn.XLOOKUP(Rezultati[[#This Row],[Vpisna]], Izpit2[Vpisna],Izpit2[Računalnik]), "")</f>
        <v>šolski</v>
      </c>
      <c r="J193" s="12" t="b">
        <v>1</v>
      </c>
      <c r="K193" t="str">
        <f>_xlfn.IFNA(_xlfn.XLOOKUP(Rezultati[[#This Row],[Vpisna]], Izpit3[Vpisna],Izpit3[Skupaj]), "")</f>
        <v/>
      </c>
      <c r="L193" s="12" t="b">
        <v>0</v>
      </c>
      <c r="M193">
        <f>MAX(Rezultati[[#This Row],[1.izpit]],Rezultati[[#This Row],[2.izpit]],Rezultati[[#This Row],[3.izpit]])</f>
        <v>60</v>
      </c>
      <c r="N193"/>
      <c r="O193">
        <f>Rezultati[[#This Row],[DN]]+Rezultati[[#This Row],[Max]]+Rezultati[[#This Row],[Bonus]]</f>
        <v>68</v>
      </c>
      <c r="P193" cm="1">
        <f t="array" ref="P193">_xlfn.XLOOKUP(Rezultati[[#This Row],[Skupaj]],_xlfn.XLOOKUP(Rezultati[[#This Row],[Program]],Kriterij[[#Headers],[APF]:[PED]],Kriterij[[APF]:[PED]]), Kriterij[Ocena], "", -1, 2)</f>
        <v>7</v>
      </c>
    </row>
    <row r="194" spans="2:16" x14ac:dyDescent="0.2">
      <c r="B194">
        <v>27000192</v>
      </c>
      <c r="C194" t="s">
        <v>11</v>
      </c>
      <c r="D194">
        <f>_xlfn.IFNA(_xlfn.XLOOKUP(Rezultati[[#This Row],[Vpisna]], DomaceNaloge[Vpisna],DomaceNaloge[Skupaj]), 0)</f>
        <v>6</v>
      </c>
      <c r="E194">
        <f>_xlfn.IFNA(_xlfn.XLOOKUP(Rezultati[[#This Row],[Vpisna]], Izpit1[Vpisna],Izpit1[Skupaj]), "")</f>
        <v>0</v>
      </c>
      <c r="F194" t="str">
        <f>_xlfn.IFNA(_xlfn.XLOOKUP(Rezultati[[#This Row],[Vpisna]], Izpit1[Vpisna],Izpit1[Računalnik]), "")</f>
        <v>šolski</v>
      </c>
      <c r="G194" s="12" t="b">
        <v>1</v>
      </c>
      <c r="H194">
        <f>_xlfn.IFNA(_xlfn.XLOOKUP(Rezultati[[#This Row],[Vpisna]], Izpit2[Vpisna],Izpit2[Skupaj]), "")</f>
        <v>70</v>
      </c>
      <c r="I194" t="str">
        <f>_xlfn.IFNA(_xlfn.XLOOKUP(Rezultati[[#This Row],[Vpisna]], Izpit2[Vpisna],Izpit2[Računalnik]), "")</f>
        <v>šolski</v>
      </c>
      <c r="J194" s="12" t="b">
        <v>1</v>
      </c>
      <c r="K194" t="str">
        <f>_xlfn.IFNA(_xlfn.XLOOKUP(Rezultati[[#This Row],[Vpisna]], Izpit3[Vpisna],Izpit3[Skupaj]), "")</f>
        <v/>
      </c>
      <c r="L194" s="12" t="b">
        <v>0</v>
      </c>
      <c r="M194">
        <f>MAX(Rezultati[[#This Row],[1.izpit]],Rezultati[[#This Row],[2.izpit]],Rezultati[[#This Row],[3.izpit]])</f>
        <v>70</v>
      </c>
      <c r="N194"/>
      <c r="O194">
        <f>Rezultati[[#This Row],[DN]]+Rezultati[[#This Row],[Max]]+Rezultati[[#This Row],[Bonus]]</f>
        <v>76</v>
      </c>
      <c r="P194" cm="1">
        <f t="array" ref="P194">_xlfn.XLOOKUP(Rezultati[[#This Row],[Skupaj]],_xlfn.XLOOKUP(Rezultati[[#This Row],[Program]],Kriterij[[#Headers],[APF]:[PED]],Kriterij[[APF]:[PED]]), Kriterij[Ocena], "", -1, 2)</f>
        <v>8</v>
      </c>
    </row>
    <row r="195" spans="2:16" x14ac:dyDescent="0.2">
      <c r="B195">
        <v>27000193</v>
      </c>
      <c r="C195" t="s">
        <v>11</v>
      </c>
      <c r="D195">
        <f>_xlfn.IFNA(_xlfn.XLOOKUP(Rezultati[[#This Row],[Vpisna]], DomaceNaloge[Vpisna],DomaceNaloge[Skupaj]), 0)</f>
        <v>7</v>
      </c>
      <c r="E195">
        <f>_xlfn.IFNA(_xlfn.XLOOKUP(Rezultati[[#This Row],[Vpisna]], Izpit1[Vpisna],Izpit1[Skupaj]), "")</f>
        <v>0</v>
      </c>
      <c r="F195" t="str">
        <f>_xlfn.IFNA(_xlfn.XLOOKUP(Rezultati[[#This Row],[Vpisna]], Izpit1[Vpisna],Izpit1[Računalnik]), "")</f>
        <v>svoj</v>
      </c>
      <c r="G195" s="12" t="b">
        <v>1</v>
      </c>
      <c r="H195">
        <f>_xlfn.IFNA(_xlfn.XLOOKUP(Rezultati[[#This Row],[Vpisna]], Izpit2[Vpisna],Izpit2[Skupaj]), "")</f>
        <v>55</v>
      </c>
      <c r="I195" t="str">
        <f>_xlfn.IFNA(_xlfn.XLOOKUP(Rezultati[[#This Row],[Vpisna]], Izpit2[Vpisna],Izpit2[Računalnik]), "")</f>
        <v>šolski</v>
      </c>
      <c r="J195" s="12" t="b">
        <v>1</v>
      </c>
      <c r="K195" t="str">
        <f>_xlfn.IFNA(_xlfn.XLOOKUP(Rezultati[[#This Row],[Vpisna]], Izpit3[Vpisna],Izpit3[Skupaj]), "")</f>
        <v/>
      </c>
      <c r="L195" s="12" t="b">
        <v>0</v>
      </c>
      <c r="M195">
        <f>MAX(Rezultati[[#This Row],[1.izpit]],Rezultati[[#This Row],[2.izpit]],Rezultati[[#This Row],[3.izpit]])</f>
        <v>55</v>
      </c>
      <c r="N195"/>
      <c r="O195">
        <f>Rezultati[[#This Row],[DN]]+Rezultati[[#This Row],[Max]]+Rezultati[[#This Row],[Bonus]]</f>
        <v>62</v>
      </c>
      <c r="P195" cm="1">
        <f t="array" ref="P195">_xlfn.XLOOKUP(Rezultati[[#This Row],[Skupaj]],_xlfn.XLOOKUP(Rezultati[[#This Row],[Program]],Kriterij[[#Headers],[APF]:[PED]],Kriterij[[APF]:[PED]]), Kriterij[Ocena], "", -1, 2)</f>
        <v>7</v>
      </c>
    </row>
    <row r="196" spans="2:16" x14ac:dyDescent="0.2">
      <c r="B196">
        <v>27000194</v>
      </c>
      <c r="C196" t="s">
        <v>11</v>
      </c>
      <c r="D196">
        <f>_xlfn.IFNA(_xlfn.XLOOKUP(Rezultati[[#This Row],[Vpisna]], DomaceNaloge[Vpisna],DomaceNaloge[Skupaj]), 0)</f>
        <v>9</v>
      </c>
      <c r="E196">
        <f>_xlfn.IFNA(_xlfn.XLOOKUP(Rezultati[[#This Row],[Vpisna]], Izpit1[Vpisna],Izpit1[Skupaj]), "")</f>
        <v>36</v>
      </c>
      <c r="F196" t="str">
        <f>_xlfn.IFNA(_xlfn.XLOOKUP(Rezultati[[#This Row],[Vpisna]], Izpit1[Vpisna],Izpit1[Računalnik]), "")</f>
        <v>šolski</v>
      </c>
      <c r="G196" s="12" t="b">
        <v>1</v>
      </c>
      <c r="H196">
        <f>_xlfn.IFNA(_xlfn.XLOOKUP(Rezultati[[#This Row],[Vpisna]], Izpit2[Vpisna],Izpit2[Skupaj]), "")</f>
        <v>70</v>
      </c>
      <c r="I196" t="str">
        <f>_xlfn.IFNA(_xlfn.XLOOKUP(Rezultati[[#This Row],[Vpisna]], Izpit2[Vpisna],Izpit2[Računalnik]), "")</f>
        <v>šolski</v>
      </c>
      <c r="J196" s="12" t="b">
        <v>1</v>
      </c>
      <c r="K196" t="str">
        <f>_xlfn.IFNA(_xlfn.XLOOKUP(Rezultati[[#This Row],[Vpisna]], Izpit3[Vpisna],Izpit3[Skupaj]), "")</f>
        <v/>
      </c>
      <c r="L196" s="12" t="b">
        <v>0</v>
      </c>
      <c r="M196">
        <f>MAX(Rezultati[[#This Row],[1.izpit]],Rezultati[[#This Row],[2.izpit]],Rezultati[[#This Row],[3.izpit]])</f>
        <v>70</v>
      </c>
      <c r="N196"/>
      <c r="O196">
        <f>Rezultati[[#This Row],[DN]]+Rezultati[[#This Row],[Max]]+Rezultati[[#This Row],[Bonus]]</f>
        <v>79</v>
      </c>
      <c r="P196" cm="1">
        <f t="array" ref="P196">_xlfn.XLOOKUP(Rezultati[[#This Row],[Skupaj]],_xlfn.XLOOKUP(Rezultati[[#This Row],[Program]],Kriterij[[#Headers],[APF]:[PED]],Kriterij[[APF]:[PED]]), Kriterij[Ocena], "", -1, 2)</f>
        <v>8</v>
      </c>
    </row>
    <row r="197" spans="2:16" x14ac:dyDescent="0.2">
      <c r="B197">
        <v>27000195</v>
      </c>
      <c r="C197" t="s">
        <v>11</v>
      </c>
      <c r="D197">
        <f>_xlfn.IFNA(_xlfn.XLOOKUP(Rezultati[[#This Row],[Vpisna]], DomaceNaloge[Vpisna],DomaceNaloge[Skupaj]), 0)</f>
        <v>9</v>
      </c>
      <c r="E197" t="str">
        <f>_xlfn.IFNA(_xlfn.XLOOKUP(Rezultati[[#This Row],[Vpisna]], Izpit1[Vpisna],Izpit1[Skupaj]), "")</f>
        <v/>
      </c>
      <c r="F197" t="str">
        <f>_xlfn.IFNA(_xlfn.XLOOKUP(Rezultati[[#This Row],[Vpisna]], Izpit1[Vpisna],Izpit1[Računalnik]), "")</f>
        <v/>
      </c>
      <c r="G197" s="12" t="b">
        <v>0</v>
      </c>
      <c r="H197">
        <f>_xlfn.IFNA(_xlfn.XLOOKUP(Rezultati[[#This Row],[Vpisna]], Izpit2[Vpisna],Izpit2[Skupaj]), "")</f>
        <v>81</v>
      </c>
      <c r="I197" t="str">
        <f>_xlfn.IFNA(_xlfn.XLOOKUP(Rezultati[[#This Row],[Vpisna]], Izpit2[Vpisna],Izpit2[Računalnik]), "")</f>
        <v>šolski</v>
      </c>
      <c r="J197" s="12" t="b">
        <v>1</v>
      </c>
      <c r="K197" t="str">
        <f>_xlfn.IFNA(_xlfn.XLOOKUP(Rezultati[[#This Row],[Vpisna]], Izpit3[Vpisna],Izpit3[Skupaj]), "")</f>
        <v/>
      </c>
      <c r="L197" s="12" t="b">
        <v>0</v>
      </c>
      <c r="M197">
        <f>MAX(Rezultati[[#This Row],[1.izpit]],Rezultati[[#This Row],[2.izpit]],Rezultati[[#This Row],[3.izpit]])</f>
        <v>81</v>
      </c>
      <c r="N197"/>
      <c r="O197">
        <f>Rezultati[[#This Row],[DN]]+Rezultati[[#This Row],[Max]]+Rezultati[[#This Row],[Bonus]]</f>
        <v>90</v>
      </c>
      <c r="P197" cm="1">
        <f t="array" ref="P197">_xlfn.XLOOKUP(Rezultati[[#This Row],[Skupaj]],_xlfn.XLOOKUP(Rezultati[[#This Row],[Program]],Kriterij[[#Headers],[APF]:[PED]],Kriterij[[APF]:[PED]]), Kriterij[Ocena], "", -1, 2)</f>
        <v>10</v>
      </c>
    </row>
    <row r="198" spans="2:16" x14ac:dyDescent="0.2">
      <c r="B198">
        <v>27000196</v>
      </c>
      <c r="C198" t="s">
        <v>11</v>
      </c>
      <c r="D198">
        <f>_xlfn.IFNA(_xlfn.XLOOKUP(Rezultati[[#This Row],[Vpisna]], DomaceNaloge[Vpisna],DomaceNaloge[Skupaj]), 0)</f>
        <v>8</v>
      </c>
      <c r="E198">
        <f>_xlfn.IFNA(_xlfn.XLOOKUP(Rezultati[[#This Row],[Vpisna]], Izpit1[Vpisna],Izpit1[Skupaj]), "")</f>
        <v>72.5</v>
      </c>
      <c r="F198" t="str">
        <f>_xlfn.IFNA(_xlfn.XLOOKUP(Rezultati[[#This Row],[Vpisna]], Izpit1[Vpisna],Izpit1[Računalnik]), "")</f>
        <v>šolski</v>
      </c>
      <c r="G198" s="12" t="b">
        <v>1</v>
      </c>
      <c r="H198">
        <f>_xlfn.IFNA(_xlfn.XLOOKUP(Rezultati[[#This Row],[Vpisna]], Izpit2[Vpisna],Izpit2[Skupaj]), "")</f>
        <v>0</v>
      </c>
      <c r="I198" t="str">
        <f>_xlfn.IFNA(_xlfn.XLOOKUP(Rezultati[[#This Row],[Vpisna]], Izpit2[Vpisna],Izpit2[Računalnik]), "")</f>
        <v>šolski</v>
      </c>
      <c r="J198" s="12" t="b">
        <v>1</v>
      </c>
      <c r="K198" t="str">
        <f>_xlfn.IFNA(_xlfn.XLOOKUP(Rezultati[[#This Row],[Vpisna]], Izpit3[Vpisna],Izpit3[Skupaj]), "")</f>
        <v/>
      </c>
      <c r="L198" s="12" t="b">
        <v>0</v>
      </c>
      <c r="M198">
        <f>MAX(Rezultati[[#This Row],[1.izpit]],Rezultati[[#This Row],[2.izpit]],Rezultati[[#This Row],[3.izpit]])</f>
        <v>72.5</v>
      </c>
      <c r="N198"/>
      <c r="O198">
        <f>Rezultati[[#This Row],[DN]]+Rezultati[[#This Row],[Max]]+Rezultati[[#This Row],[Bonus]]</f>
        <v>80.5</v>
      </c>
      <c r="P198" cm="1">
        <f t="array" ref="P198">_xlfn.XLOOKUP(Rezultati[[#This Row],[Skupaj]],_xlfn.XLOOKUP(Rezultati[[#This Row],[Program]],Kriterij[[#Headers],[APF]:[PED]],Kriterij[[APF]:[PED]]), Kriterij[Ocena], "", -1, 2)</f>
        <v>9</v>
      </c>
    </row>
    <row r="199" spans="2:16" x14ac:dyDescent="0.2">
      <c r="B199">
        <v>27000197</v>
      </c>
      <c r="C199" t="s">
        <v>11</v>
      </c>
      <c r="D199">
        <f>_xlfn.IFNA(_xlfn.XLOOKUP(Rezultati[[#This Row],[Vpisna]], DomaceNaloge[Vpisna],DomaceNaloge[Skupaj]), 0)</f>
        <v>8</v>
      </c>
      <c r="E199" t="str">
        <f>_xlfn.IFNA(_xlfn.XLOOKUP(Rezultati[[#This Row],[Vpisna]], Izpit1[Vpisna],Izpit1[Skupaj]), "")</f>
        <v/>
      </c>
      <c r="F199" t="str">
        <f>_xlfn.IFNA(_xlfn.XLOOKUP(Rezultati[[#This Row],[Vpisna]], Izpit1[Vpisna],Izpit1[Računalnik]), "")</f>
        <v/>
      </c>
      <c r="G199" s="12" t="b">
        <v>0</v>
      </c>
      <c r="H199">
        <f>_xlfn.IFNA(_xlfn.XLOOKUP(Rezultati[[#This Row],[Vpisna]], Izpit2[Vpisna],Izpit2[Skupaj]), "")</f>
        <v>0</v>
      </c>
      <c r="I199" t="str">
        <f>_xlfn.IFNA(_xlfn.XLOOKUP(Rezultati[[#This Row],[Vpisna]], Izpit2[Vpisna],Izpit2[Računalnik]), "")</f>
        <v>šolski</v>
      </c>
      <c r="J199" s="12" t="b">
        <v>1</v>
      </c>
      <c r="K199" t="str">
        <f>_xlfn.IFNA(_xlfn.XLOOKUP(Rezultati[[#This Row],[Vpisna]], Izpit3[Vpisna],Izpit3[Skupaj]), "")</f>
        <v/>
      </c>
      <c r="L199" s="12" t="b">
        <v>0</v>
      </c>
      <c r="M199">
        <f>MAX(Rezultati[[#This Row],[1.izpit]],Rezultati[[#This Row],[2.izpit]],Rezultati[[#This Row],[3.izpit]])</f>
        <v>0</v>
      </c>
      <c r="N199"/>
      <c r="O199">
        <f>Rezultati[[#This Row],[DN]]+Rezultati[[#This Row],[Max]]+Rezultati[[#This Row],[Bonus]]</f>
        <v>8</v>
      </c>
      <c r="P199" cm="1">
        <f t="array" ref="P199">_xlfn.XLOOKUP(Rezultati[[#This Row],[Skupaj]],_xlfn.XLOOKUP(Rezultati[[#This Row],[Program]],Kriterij[[#Headers],[APF]:[PED]],Kriterij[[APF]:[PED]]), Kriterij[Ocena], "", -1, 2)</f>
        <v>5</v>
      </c>
    </row>
    <row r="200" spans="2:16" x14ac:dyDescent="0.2">
      <c r="B200">
        <v>27000198</v>
      </c>
      <c r="C200" t="s">
        <v>11</v>
      </c>
      <c r="D200">
        <f>_xlfn.IFNA(_xlfn.XLOOKUP(Rezultati[[#This Row],[Vpisna]], DomaceNaloge[Vpisna],DomaceNaloge[Skupaj]), 0)</f>
        <v>8</v>
      </c>
      <c r="E200" t="str">
        <f>_xlfn.IFNA(_xlfn.XLOOKUP(Rezultati[[#This Row],[Vpisna]], Izpit1[Vpisna],Izpit1[Skupaj]), "")</f>
        <v/>
      </c>
      <c r="F200" t="str">
        <f>_xlfn.IFNA(_xlfn.XLOOKUP(Rezultati[[#This Row],[Vpisna]], Izpit1[Vpisna],Izpit1[Računalnik]), "")</f>
        <v/>
      </c>
      <c r="G200" s="12" t="b">
        <v>0</v>
      </c>
      <c r="H200">
        <f>_xlfn.IFNA(_xlfn.XLOOKUP(Rezultati[[#This Row],[Vpisna]], Izpit2[Vpisna],Izpit2[Skupaj]), "")</f>
        <v>93</v>
      </c>
      <c r="I200" t="str">
        <f>_xlfn.IFNA(_xlfn.XLOOKUP(Rezultati[[#This Row],[Vpisna]], Izpit2[Vpisna],Izpit2[Računalnik]), "")</f>
        <v>svoj</v>
      </c>
      <c r="J200" s="12" t="b">
        <v>1</v>
      </c>
      <c r="K200" t="str">
        <f>_xlfn.IFNA(_xlfn.XLOOKUP(Rezultati[[#This Row],[Vpisna]], Izpit3[Vpisna],Izpit3[Skupaj]), "")</f>
        <v/>
      </c>
      <c r="L200" s="12" t="b">
        <v>0</v>
      </c>
      <c r="M200">
        <f>MAX(Rezultati[[#This Row],[1.izpit]],Rezultati[[#This Row],[2.izpit]],Rezultati[[#This Row],[3.izpit]])</f>
        <v>93</v>
      </c>
      <c r="N200"/>
      <c r="O200">
        <f>Rezultati[[#This Row],[DN]]+Rezultati[[#This Row],[Max]]+Rezultati[[#This Row],[Bonus]]</f>
        <v>101</v>
      </c>
      <c r="P200" cm="1">
        <f t="array" ref="P200">_xlfn.XLOOKUP(Rezultati[[#This Row],[Skupaj]],_xlfn.XLOOKUP(Rezultati[[#This Row],[Program]],Kriterij[[#Headers],[APF]:[PED]],Kriterij[[APF]:[PED]]), Kriterij[Ocena], "", -1, 2)</f>
        <v>10</v>
      </c>
    </row>
    <row r="201" spans="2:16" x14ac:dyDescent="0.2">
      <c r="B201">
        <v>27000199</v>
      </c>
      <c r="C201" t="s">
        <v>11</v>
      </c>
      <c r="D201">
        <f>_xlfn.IFNA(_xlfn.XLOOKUP(Rezultati[[#This Row],[Vpisna]], DomaceNaloge[Vpisna],DomaceNaloge[Skupaj]), 0)</f>
        <v>8</v>
      </c>
      <c r="E201" t="str">
        <f>_xlfn.IFNA(_xlfn.XLOOKUP(Rezultati[[#This Row],[Vpisna]], Izpit1[Vpisna],Izpit1[Skupaj]), "")</f>
        <v/>
      </c>
      <c r="F201" t="str">
        <f>_xlfn.IFNA(_xlfn.XLOOKUP(Rezultati[[#This Row],[Vpisna]], Izpit1[Vpisna],Izpit1[Računalnik]), "")</f>
        <v/>
      </c>
      <c r="G201" s="12" t="b">
        <v>0</v>
      </c>
      <c r="H201">
        <f>_xlfn.IFNA(_xlfn.XLOOKUP(Rezultati[[#This Row],[Vpisna]], Izpit2[Vpisna],Izpit2[Skupaj]), "")</f>
        <v>61</v>
      </c>
      <c r="I201" t="str">
        <f>_xlfn.IFNA(_xlfn.XLOOKUP(Rezultati[[#This Row],[Vpisna]], Izpit2[Vpisna],Izpit2[Računalnik]), "")</f>
        <v>svoj</v>
      </c>
      <c r="J201" s="12" t="b">
        <v>1</v>
      </c>
      <c r="K201" t="str">
        <f>_xlfn.IFNA(_xlfn.XLOOKUP(Rezultati[[#This Row],[Vpisna]], Izpit3[Vpisna],Izpit3[Skupaj]), "")</f>
        <v/>
      </c>
      <c r="L201" s="12" t="b">
        <v>0</v>
      </c>
      <c r="M201">
        <f>MAX(Rezultati[[#This Row],[1.izpit]],Rezultati[[#This Row],[2.izpit]],Rezultati[[#This Row],[3.izpit]])</f>
        <v>61</v>
      </c>
      <c r="N201"/>
      <c r="O201">
        <f>Rezultati[[#This Row],[DN]]+Rezultati[[#This Row],[Max]]+Rezultati[[#This Row],[Bonus]]</f>
        <v>69</v>
      </c>
      <c r="P201" cm="1">
        <f t="array" ref="P201">_xlfn.XLOOKUP(Rezultati[[#This Row],[Skupaj]],_xlfn.XLOOKUP(Rezultati[[#This Row],[Program]],Kriterij[[#Headers],[APF]:[PED]],Kriterij[[APF]:[PED]]), Kriterij[Ocena], "", -1, 2)</f>
        <v>7</v>
      </c>
    </row>
    <row r="202" spans="2:16" x14ac:dyDescent="0.2">
      <c r="B202">
        <v>27000200</v>
      </c>
      <c r="C202" t="s">
        <v>11</v>
      </c>
      <c r="D202">
        <f>_xlfn.IFNA(_xlfn.XLOOKUP(Rezultati[[#This Row],[Vpisna]], DomaceNaloge[Vpisna],DomaceNaloge[Skupaj]), 0)</f>
        <v>9</v>
      </c>
      <c r="E202" t="str">
        <f>_xlfn.IFNA(_xlfn.XLOOKUP(Rezultati[[#This Row],[Vpisna]], Izpit1[Vpisna],Izpit1[Skupaj]), "")</f>
        <v/>
      </c>
      <c r="F202" t="str">
        <f>_xlfn.IFNA(_xlfn.XLOOKUP(Rezultati[[#This Row],[Vpisna]], Izpit1[Vpisna],Izpit1[Računalnik]), "")</f>
        <v/>
      </c>
      <c r="G202" s="12" t="b">
        <v>0</v>
      </c>
      <c r="H202">
        <f>_xlfn.IFNA(_xlfn.XLOOKUP(Rezultati[[#This Row],[Vpisna]], Izpit2[Vpisna],Izpit2[Skupaj]), "")</f>
        <v>42</v>
      </c>
      <c r="I202" t="str">
        <f>_xlfn.IFNA(_xlfn.XLOOKUP(Rezultati[[#This Row],[Vpisna]], Izpit2[Vpisna],Izpit2[Računalnik]), "")</f>
        <v>svoj</v>
      </c>
      <c r="J202" s="12" t="b">
        <v>1</v>
      </c>
      <c r="K202" t="str">
        <f>_xlfn.IFNA(_xlfn.XLOOKUP(Rezultati[[#This Row],[Vpisna]], Izpit3[Vpisna],Izpit3[Skupaj]), "")</f>
        <v/>
      </c>
      <c r="L202" s="12" t="b">
        <v>0</v>
      </c>
      <c r="M202">
        <f>MAX(Rezultati[[#This Row],[1.izpit]],Rezultati[[#This Row],[2.izpit]],Rezultati[[#This Row],[3.izpit]])</f>
        <v>42</v>
      </c>
      <c r="N202"/>
      <c r="O202">
        <f>Rezultati[[#This Row],[DN]]+Rezultati[[#This Row],[Max]]+Rezultati[[#This Row],[Bonus]]</f>
        <v>51</v>
      </c>
      <c r="P202" cm="1">
        <f t="array" ref="P202">_xlfn.XLOOKUP(Rezultati[[#This Row],[Skupaj]],_xlfn.XLOOKUP(Rezultati[[#This Row],[Program]],Kriterij[[#Headers],[APF]:[PED]],Kriterij[[APF]:[PED]]), Kriterij[Ocena], "", -1, 2)</f>
        <v>6</v>
      </c>
    </row>
    <row r="203" spans="2:16" x14ac:dyDescent="0.2">
      <c r="B203">
        <v>27000201</v>
      </c>
      <c r="C203" t="s">
        <v>11</v>
      </c>
      <c r="D203">
        <f>_xlfn.IFNA(_xlfn.XLOOKUP(Rezultati[[#This Row],[Vpisna]], DomaceNaloge[Vpisna],DomaceNaloge[Skupaj]), 0)</f>
        <v>6</v>
      </c>
      <c r="E203">
        <f>_xlfn.IFNA(_xlfn.XLOOKUP(Rezultati[[#This Row],[Vpisna]], Izpit1[Vpisna],Izpit1[Skupaj]), "")</f>
        <v>24</v>
      </c>
      <c r="F203" t="str">
        <f>_xlfn.IFNA(_xlfn.XLOOKUP(Rezultati[[#This Row],[Vpisna]], Izpit1[Vpisna],Izpit1[Računalnik]), "")</f>
        <v>svoj</v>
      </c>
      <c r="G203" s="12" t="b">
        <v>1</v>
      </c>
      <c r="H203">
        <f>_xlfn.IFNA(_xlfn.XLOOKUP(Rezultati[[#This Row],[Vpisna]], Izpit2[Vpisna],Izpit2[Skupaj]), "")</f>
        <v>64</v>
      </c>
      <c r="I203" t="str">
        <f>_xlfn.IFNA(_xlfn.XLOOKUP(Rezultati[[#This Row],[Vpisna]], Izpit2[Vpisna],Izpit2[Računalnik]), "")</f>
        <v>svoj</v>
      </c>
      <c r="J203" s="12" t="b">
        <v>1</v>
      </c>
      <c r="K203" t="str">
        <f>_xlfn.IFNA(_xlfn.XLOOKUP(Rezultati[[#This Row],[Vpisna]], Izpit3[Vpisna],Izpit3[Skupaj]), "")</f>
        <v/>
      </c>
      <c r="L203" s="12" t="b">
        <v>0</v>
      </c>
      <c r="M203">
        <f>MAX(Rezultati[[#This Row],[1.izpit]],Rezultati[[#This Row],[2.izpit]],Rezultati[[#This Row],[3.izpit]])</f>
        <v>64</v>
      </c>
      <c r="N203"/>
      <c r="O203">
        <f>Rezultati[[#This Row],[DN]]+Rezultati[[#This Row],[Max]]+Rezultati[[#This Row],[Bonus]]</f>
        <v>70</v>
      </c>
      <c r="P203" cm="1">
        <f t="array" ref="P203">_xlfn.XLOOKUP(Rezultati[[#This Row],[Skupaj]],_xlfn.XLOOKUP(Rezultati[[#This Row],[Program]],Kriterij[[#Headers],[APF]:[PED]],Kriterij[[APF]:[PED]]), Kriterij[Ocena], "", -1, 2)</f>
        <v>8</v>
      </c>
    </row>
    <row r="204" spans="2:16" x14ac:dyDescent="0.2">
      <c r="B204">
        <v>27000202</v>
      </c>
      <c r="C204" t="s">
        <v>11</v>
      </c>
      <c r="D204">
        <f>_xlfn.IFNA(_xlfn.XLOOKUP(Rezultati[[#This Row],[Vpisna]], DomaceNaloge[Vpisna],DomaceNaloge[Skupaj]), 0)</f>
        <v>8</v>
      </c>
      <c r="E204" t="str">
        <f>_xlfn.IFNA(_xlfn.XLOOKUP(Rezultati[[#This Row],[Vpisna]], Izpit1[Vpisna],Izpit1[Skupaj]), "")</f>
        <v/>
      </c>
      <c r="F204" t="str">
        <f>_xlfn.IFNA(_xlfn.XLOOKUP(Rezultati[[#This Row],[Vpisna]], Izpit1[Vpisna],Izpit1[Računalnik]), "")</f>
        <v/>
      </c>
      <c r="G204" s="12" t="b">
        <v>0</v>
      </c>
      <c r="H204">
        <f>_xlfn.IFNA(_xlfn.XLOOKUP(Rezultati[[#This Row],[Vpisna]], Izpit2[Vpisna],Izpit2[Skupaj]), "")</f>
        <v>77</v>
      </c>
      <c r="I204" t="str">
        <f>_xlfn.IFNA(_xlfn.XLOOKUP(Rezultati[[#This Row],[Vpisna]], Izpit2[Vpisna],Izpit2[Računalnik]), "")</f>
        <v>svoj</v>
      </c>
      <c r="J204" s="12" t="b">
        <v>1</v>
      </c>
      <c r="K204" t="str">
        <f>_xlfn.IFNA(_xlfn.XLOOKUP(Rezultati[[#This Row],[Vpisna]], Izpit3[Vpisna],Izpit3[Skupaj]), "")</f>
        <v/>
      </c>
      <c r="L204" s="12" t="b">
        <v>0</v>
      </c>
      <c r="M204">
        <f>MAX(Rezultati[[#This Row],[1.izpit]],Rezultati[[#This Row],[2.izpit]],Rezultati[[#This Row],[3.izpit]])</f>
        <v>77</v>
      </c>
      <c r="N204"/>
      <c r="O204">
        <f>Rezultati[[#This Row],[DN]]+Rezultati[[#This Row],[Max]]+Rezultati[[#This Row],[Bonus]]</f>
        <v>85</v>
      </c>
      <c r="P204" cm="1">
        <f t="array" ref="P204">_xlfn.XLOOKUP(Rezultati[[#This Row],[Skupaj]],_xlfn.XLOOKUP(Rezultati[[#This Row],[Program]],Kriterij[[#Headers],[APF]:[PED]],Kriterij[[APF]:[PED]]), Kriterij[Ocena], "", -1, 2)</f>
        <v>9</v>
      </c>
    </row>
    <row r="205" spans="2:16" x14ac:dyDescent="0.2">
      <c r="B205">
        <v>27000203</v>
      </c>
      <c r="C205" t="s">
        <v>11</v>
      </c>
      <c r="D205">
        <f>_xlfn.IFNA(_xlfn.XLOOKUP(Rezultati[[#This Row],[Vpisna]], DomaceNaloge[Vpisna],DomaceNaloge[Skupaj]), 0)</f>
        <v>9</v>
      </c>
      <c r="E205">
        <f>_xlfn.IFNA(_xlfn.XLOOKUP(Rezultati[[#This Row],[Vpisna]], Izpit1[Vpisna],Izpit1[Skupaj]), "")</f>
        <v>62</v>
      </c>
      <c r="F205" t="str">
        <f>_xlfn.IFNA(_xlfn.XLOOKUP(Rezultati[[#This Row],[Vpisna]], Izpit1[Vpisna],Izpit1[Računalnik]), "")</f>
        <v>svoj</v>
      </c>
      <c r="G205" s="12" t="b">
        <v>1</v>
      </c>
      <c r="H205">
        <f>_xlfn.IFNA(_xlfn.XLOOKUP(Rezultati[[#This Row],[Vpisna]], Izpit2[Vpisna],Izpit2[Skupaj]), "")</f>
        <v>72</v>
      </c>
      <c r="I205" t="str">
        <f>_xlfn.IFNA(_xlfn.XLOOKUP(Rezultati[[#This Row],[Vpisna]], Izpit2[Vpisna],Izpit2[Računalnik]), "")</f>
        <v>svoj</v>
      </c>
      <c r="J205" s="12" t="b">
        <v>1</v>
      </c>
      <c r="K205" t="str">
        <f>_xlfn.IFNA(_xlfn.XLOOKUP(Rezultati[[#This Row],[Vpisna]], Izpit3[Vpisna],Izpit3[Skupaj]), "")</f>
        <v/>
      </c>
      <c r="L205" s="12" t="b">
        <v>0</v>
      </c>
      <c r="M205">
        <f>MAX(Rezultati[[#This Row],[1.izpit]],Rezultati[[#This Row],[2.izpit]],Rezultati[[#This Row],[3.izpit]])</f>
        <v>72</v>
      </c>
      <c r="N205"/>
      <c r="O205">
        <f>Rezultati[[#This Row],[DN]]+Rezultati[[#This Row],[Max]]+Rezultati[[#This Row],[Bonus]]</f>
        <v>81</v>
      </c>
      <c r="P205" cm="1">
        <f t="array" ref="P205">_xlfn.XLOOKUP(Rezultati[[#This Row],[Skupaj]],_xlfn.XLOOKUP(Rezultati[[#This Row],[Program]],Kriterij[[#Headers],[APF]:[PED]],Kriterij[[APF]:[PED]]), Kriterij[Ocena], "", -1, 2)</f>
        <v>9</v>
      </c>
    </row>
    <row r="206" spans="2:16" x14ac:dyDescent="0.2">
      <c r="B206">
        <v>27000204</v>
      </c>
      <c r="C206" t="s">
        <v>11</v>
      </c>
      <c r="D206">
        <f>_xlfn.IFNA(_xlfn.XLOOKUP(Rezultati[[#This Row],[Vpisna]], DomaceNaloge[Vpisna],DomaceNaloge[Skupaj]), 0)</f>
        <v>7</v>
      </c>
      <c r="E206" t="str">
        <f>_xlfn.IFNA(_xlfn.XLOOKUP(Rezultati[[#This Row],[Vpisna]], Izpit1[Vpisna],Izpit1[Skupaj]), "")</f>
        <v/>
      </c>
      <c r="F206" t="str">
        <f>_xlfn.IFNA(_xlfn.XLOOKUP(Rezultati[[#This Row],[Vpisna]], Izpit1[Vpisna],Izpit1[Računalnik]), "")</f>
        <v/>
      </c>
      <c r="G206" s="12" t="b">
        <v>0</v>
      </c>
      <c r="H206">
        <f>_xlfn.IFNA(_xlfn.XLOOKUP(Rezultati[[#This Row],[Vpisna]], Izpit2[Vpisna],Izpit2[Skupaj]), "")</f>
        <v>61</v>
      </c>
      <c r="I206" t="str">
        <f>_xlfn.IFNA(_xlfn.XLOOKUP(Rezultati[[#This Row],[Vpisna]], Izpit2[Vpisna],Izpit2[Računalnik]), "")</f>
        <v>svoj</v>
      </c>
      <c r="J206" s="12" t="b">
        <v>1</v>
      </c>
      <c r="K206" t="str">
        <f>_xlfn.IFNA(_xlfn.XLOOKUP(Rezultati[[#This Row],[Vpisna]], Izpit3[Vpisna],Izpit3[Skupaj]), "")</f>
        <v/>
      </c>
      <c r="L206" s="12" t="b">
        <v>0</v>
      </c>
      <c r="M206">
        <f>MAX(Rezultati[[#This Row],[1.izpit]],Rezultati[[#This Row],[2.izpit]],Rezultati[[#This Row],[3.izpit]])</f>
        <v>61</v>
      </c>
      <c r="N206"/>
      <c r="O206">
        <f>Rezultati[[#This Row],[DN]]+Rezultati[[#This Row],[Max]]+Rezultati[[#This Row],[Bonus]]</f>
        <v>68</v>
      </c>
      <c r="P206" cm="1">
        <f t="array" ref="P206">_xlfn.XLOOKUP(Rezultati[[#This Row],[Skupaj]],_xlfn.XLOOKUP(Rezultati[[#This Row],[Program]],Kriterij[[#Headers],[APF]:[PED]],Kriterij[[APF]:[PED]]), Kriterij[Ocena], "", -1, 2)</f>
        <v>7</v>
      </c>
    </row>
    <row r="207" spans="2:16" x14ac:dyDescent="0.2">
      <c r="B207">
        <v>27000205</v>
      </c>
      <c r="C207" t="s">
        <v>11</v>
      </c>
      <c r="D207">
        <f>_xlfn.IFNA(_xlfn.XLOOKUP(Rezultati[[#This Row],[Vpisna]], DomaceNaloge[Vpisna],DomaceNaloge[Skupaj]), 0)</f>
        <v>9</v>
      </c>
      <c r="E207">
        <f>_xlfn.IFNA(_xlfn.XLOOKUP(Rezultati[[#This Row],[Vpisna]], Izpit1[Vpisna],Izpit1[Skupaj]), "")</f>
        <v>0</v>
      </c>
      <c r="F207" t="str">
        <f>_xlfn.IFNA(_xlfn.XLOOKUP(Rezultati[[#This Row],[Vpisna]], Izpit1[Vpisna],Izpit1[Računalnik]), "")</f>
        <v>svoj</v>
      </c>
      <c r="G207" s="12" t="b">
        <v>1</v>
      </c>
      <c r="H207">
        <f>_xlfn.IFNA(_xlfn.XLOOKUP(Rezultati[[#This Row],[Vpisna]], Izpit2[Vpisna],Izpit2[Skupaj]), "")</f>
        <v>62</v>
      </c>
      <c r="I207" t="str">
        <f>_xlfn.IFNA(_xlfn.XLOOKUP(Rezultati[[#This Row],[Vpisna]], Izpit2[Vpisna],Izpit2[Računalnik]), "")</f>
        <v>svoj</v>
      </c>
      <c r="J207" s="12" t="b">
        <v>1</v>
      </c>
      <c r="K207" t="str">
        <f>_xlfn.IFNA(_xlfn.XLOOKUP(Rezultati[[#This Row],[Vpisna]], Izpit3[Vpisna],Izpit3[Skupaj]), "")</f>
        <v/>
      </c>
      <c r="L207" s="12" t="b">
        <v>0</v>
      </c>
      <c r="M207">
        <f>MAX(Rezultati[[#This Row],[1.izpit]],Rezultati[[#This Row],[2.izpit]],Rezultati[[#This Row],[3.izpit]])</f>
        <v>62</v>
      </c>
      <c r="N207"/>
      <c r="O207">
        <f>Rezultati[[#This Row],[DN]]+Rezultati[[#This Row],[Max]]+Rezultati[[#This Row],[Bonus]]</f>
        <v>71</v>
      </c>
      <c r="P207" cm="1">
        <f t="array" ref="P207">_xlfn.XLOOKUP(Rezultati[[#This Row],[Skupaj]],_xlfn.XLOOKUP(Rezultati[[#This Row],[Program]],Kriterij[[#Headers],[APF]:[PED]],Kriterij[[APF]:[PED]]), Kriterij[Ocena], "", -1, 2)</f>
        <v>8</v>
      </c>
    </row>
    <row r="208" spans="2:16" x14ac:dyDescent="0.2">
      <c r="B208">
        <v>27000206</v>
      </c>
      <c r="C208" t="s">
        <v>11</v>
      </c>
      <c r="D208">
        <f>_xlfn.IFNA(_xlfn.XLOOKUP(Rezultati[[#This Row],[Vpisna]], DomaceNaloge[Vpisna],DomaceNaloge[Skupaj]), 0)</f>
        <v>4</v>
      </c>
      <c r="E208" t="str">
        <f>_xlfn.IFNA(_xlfn.XLOOKUP(Rezultati[[#This Row],[Vpisna]], Izpit1[Vpisna],Izpit1[Skupaj]), "")</f>
        <v/>
      </c>
      <c r="F208" t="str">
        <f>_xlfn.IFNA(_xlfn.XLOOKUP(Rezultati[[#This Row],[Vpisna]], Izpit1[Vpisna],Izpit1[Računalnik]), "")</f>
        <v/>
      </c>
      <c r="G208" s="12" t="b">
        <v>0</v>
      </c>
      <c r="H208">
        <f>_xlfn.IFNA(_xlfn.XLOOKUP(Rezultati[[#This Row],[Vpisna]], Izpit2[Vpisna],Izpit2[Skupaj]), "")</f>
        <v>70</v>
      </c>
      <c r="I208" t="str">
        <f>_xlfn.IFNA(_xlfn.XLOOKUP(Rezultati[[#This Row],[Vpisna]], Izpit2[Vpisna],Izpit2[Računalnik]), "")</f>
        <v>svoj</v>
      </c>
      <c r="J208" s="12" t="b">
        <v>1</v>
      </c>
      <c r="K208" t="str">
        <f>_xlfn.IFNA(_xlfn.XLOOKUP(Rezultati[[#This Row],[Vpisna]], Izpit3[Vpisna],Izpit3[Skupaj]), "")</f>
        <v/>
      </c>
      <c r="L208" s="12" t="b">
        <v>0</v>
      </c>
      <c r="M208">
        <f>MAX(Rezultati[[#This Row],[1.izpit]],Rezultati[[#This Row],[2.izpit]],Rezultati[[#This Row],[3.izpit]])</f>
        <v>70</v>
      </c>
      <c r="N208"/>
      <c r="O208">
        <f>Rezultati[[#This Row],[DN]]+Rezultati[[#This Row],[Max]]+Rezultati[[#This Row],[Bonus]]</f>
        <v>74</v>
      </c>
      <c r="P208" cm="1">
        <f t="array" ref="P208">_xlfn.XLOOKUP(Rezultati[[#This Row],[Skupaj]],_xlfn.XLOOKUP(Rezultati[[#This Row],[Program]],Kriterij[[#Headers],[APF]:[PED]],Kriterij[[APF]:[PED]]), Kriterij[Ocena], "", -1, 2)</f>
        <v>8</v>
      </c>
    </row>
    <row r="209" spans="2:16" x14ac:dyDescent="0.2">
      <c r="B209">
        <v>27000207</v>
      </c>
      <c r="C209" t="s">
        <v>11</v>
      </c>
      <c r="D209">
        <f>_xlfn.IFNA(_xlfn.XLOOKUP(Rezultati[[#This Row],[Vpisna]], DomaceNaloge[Vpisna],DomaceNaloge[Skupaj]), 0)</f>
        <v>8</v>
      </c>
      <c r="E209" t="str">
        <f>_xlfn.IFNA(_xlfn.XLOOKUP(Rezultati[[#This Row],[Vpisna]], Izpit1[Vpisna],Izpit1[Skupaj]), "")</f>
        <v/>
      </c>
      <c r="F209" t="str">
        <f>_xlfn.IFNA(_xlfn.XLOOKUP(Rezultati[[#This Row],[Vpisna]], Izpit1[Vpisna],Izpit1[Računalnik]), "")</f>
        <v/>
      </c>
      <c r="G209" s="12" t="b">
        <v>0</v>
      </c>
      <c r="H209">
        <f>_xlfn.IFNA(_xlfn.XLOOKUP(Rezultati[[#This Row],[Vpisna]], Izpit2[Vpisna],Izpit2[Skupaj]), "")</f>
        <v>60</v>
      </c>
      <c r="I209" t="str">
        <f>_xlfn.IFNA(_xlfn.XLOOKUP(Rezultati[[#This Row],[Vpisna]], Izpit2[Vpisna],Izpit2[Računalnik]), "")</f>
        <v>svoj</v>
      </c>
      <c r="J209" s="12" t="b">
        <v>1</v>
      </c>
      <c r="K209" t="str">
        <f>_xlfn.IFNA(_xlfn.XLOOKUP(Rezultati[[#This Row],[Vpisna]], Izpit3[Vpisna],Izpit3[Skupaj]), "")</f>
        <v/>
      </c>
      <c r="L209" s="12" t="b">
        <v>0</v>
      </c>
      <c r="M209">
        <f>MAX(Rezultati[[#This Row],[1.izpit]],Rezultati[[#This Row],[2.izpit]],Rezultati[[#This Row],[3.izpit]])</f>
        <v>60</v>
      </c>
      <c r="N209"/>
      <c r="O209">
        <f>Rezultati[[#This Row],[DN]]+Rezultati[[#This Row],[Max]]+Rezultati[[#This Row],[Bonus]]</f>
        <v>68</v>
      </c>
      <c r="P209" cm="1">
        <f t="array" ref="P209">_xlfn.XLOOKUP(Rezultati[[#This Row],[Skupaj]],_xlfn.XLOOKUP(Rezultati[[#This Row],[Program]],Kriterij[[#Headers],[APF]:[PED]],Kriterij[[APF]:[PED]]), Kriterij[Ocena], "", -1, 2)</f>
        <v>7</v>
      </c>
    </row>
    <row r="210" spans="2:16" x14ac:dyDescent="0.2">
      <c r="B210">
        <v>27000208</v>
      </c>
      <c r="C210" t="s">
        <v>11</v>
      </c>
      <c r="D210">
        <f>_xlfn.IFNA(_xlfn.XLOOKUP(Rezultati[[#This Row],[Vpisna]], DomaceNaloge[Vpisna],DomaceNaloge[Skupaj]), 0)</f>
        <v>0</v>
      </c>
      <c r="E210">
        <f>_xlfn.IFNA(_xlfn.XLOOKUP(Rezultati[[#This Row],[Vpisna]], Izpit1[Vpisna],Izpit1[Skupaj]), "")</f>
        <v>75.5</v>
      </c>
      <c r="F210" t="str">
        <f>_xlfn.IFNA(_xlfn.XLOOKUP(Rezultati[[#This Row],[Vpisna]], Izpit1[Vpisna],Izpit1[Računalnik]), "")</f>
        <v>svoj</v>
      </c>
      <c r="G210" s="12" t="b">
        <v>1</v>
      </c>
      <c r="H210">
        <f>_xlfn.IFNA(_xlfn.XLOOKUP(Rezultati[[#This Row],[Vpisna]], Izpit2[Vpisna],Izpit2[Skupaj]), "")</f>
        <v>0</v>
      </c>
      <c r="I210" t="str">
        <f>_xlfn.IFNA(_xlfn.XLOOKUP(Rezultati[[#This Row],[Vpisna]], Izpit2[Vpisna],Izpit2[Računalnik]), "")</f>
        <v>svoj</v>
      </c>
      <c r="J210" s="12" t="b">
        <v>1</v>
      </c>
      <c r="K210" t="str">
        <f>_xlfn.IFNA(_xlfn.XLOOKUP(Rezultati[[#This Row],[Vpisna]], Izpit3[Vpisna],Izpit3[Skupaj]), "")</f>
        <v/>
      </c>
      <c r="L210" s="12" t="b">
        <v>0</v>
      </c>
      <c r="M210">
        <f>MAX(Rezultati[[#This Row],[1.izpit]],Rezultati[[#This Row],[2.izpit]],Rezultati[[#This Row],[3.izpit]])</f>
        <v>75.5</v>
      </c>
      <c r="N210"/>
      <c r="O210">
        <f>Rezultati[[#This Row],[DN]]+Rezultati[[#This Row],[Max]]+Rezultati[[#This Row],[Bonus]]</f>
        <v>75.5</v>
      </c>
      <c r="P210" cm="1">
        <f t="array" ref="P210">_xlfn.XLOOKUP(Rezultati[[#This Row],[Skupaj]],_xlfn.XLOOKUP(Rezultati[[#This Row],[Program]],Kriterij[[#Headers],[APF]:[PED]],Kriterij[[APF]:[PED]]), Kriterij[Ocena], "", -1, 2)</f>
        <v>8</v>
      </c>
    </row>
    <row r="211" spans="2:16" x14ac:dyDescent="0.2">
      <c r="B211">
        <v>27000209</v>
      </c>
      <c r="C211" t="s">
        <v>12</v>
      </c>
      <c r="D211">
        <f>_xlfn.IFNA(_xlfn.XLOOKUP(Rezultati[[#This Row],[Vpisna]], DomaceNaloge[Vpisna],DomaceNaloge[Skupaj]), 0)</f>
        <v>0</v>
      </c>
      <c r="E211" t="str">
        <f>_xlfn.IFNA(_xlfn.XLOOKUP(Rezultati[[#This Row],[Vpisna]], Izpit1[Vpisna],Izpit1[Skupaj]), "")</f>
        <v/>
      </c>
      <c r="F211" t="str">
        <f>_xlfn.IFNA(_xlfn.XLOOKUP(Rezultati[[#This Row],[Vpisna]], Izpit1[Vpisna],Izpit1[Računalnik]), "")</f>
        <v/>
      </c>
      <c r="G211" s="12" t="b">
        <v>0</v>
      </c>
      <c r="H211" t="str">
        <f>_xlfn.IFNA(_xlfn.XLOOKUP(Rezultati[[#This Row],[Vpisna]], Izpit2[Vpisna],Izpit2[Skupaj]), "")</f>
        <v/>
      </c>
      <c r="I211" t="str">
        <f>_xlfn.IFNA(_xlfn.XLOOKUP(Rezultati[[#This Row],[Vpisna]], Izpit2[Vpisna],Izpit2[Računalnik]), "")</f>
        <v/>
      </c>
      <c r="J211" s="12" t="b">
        <v>0</v>
      </c>
      <c r="K211" t="str">
        <f>_xlfn.IFNA(_xlfn.XLOOKUP(Rezultati[[#This Row],[Vpisna]], Izpit3[Vpisna],Izpit3[Skupaj]), "")</f>
        <v/>
      </c>
      <c r="L211" s="12" t="b">
        <v>0</v>
      </c>
      <c r="M211">
        <f>MAX(Rezultati[[#This Row],[1.izpit]],Rezultati[[#This Row],[2.izpit]],Rezultati[[#This Row],[3.izpit]])</f>
        <v>0</v>
      </c>
      <c r="N211"/>
      <c r="O211">
        <f>Rezultati[[#This Row],[DN]]+Rezultati[[#This Row],[Max]]+Rezultati[[#This Row],[Bonus]]</f>
        <v>0</v>
      </c>
      <c r="P211" t="str" cm="1">
        <f t="array" ref="P211">_xlfn.XLOOKUP(Rezultati[[#This Row],[Skupaj]],_xlfn.XLOOKUP(Rezultati[[#This Row],[Program]],Kriterij[[#Headers],[APF]:[PED]],Kriterij[[APF]:[PED]]), Kriterij[Ocena], "", -1, 2)</f>
        <v/>
      </c>
    </row>
    <row r="212" spans="2:16" x14ac:dyDescent="0.2">
      <c r="B212">
        <v>27000210</v>
      </c>
      <c r="C212" t="s">
        <v>12</v>
      </c>
      <c r="D212">
        <f>_xlfn.IFNA(_xlfn.XLOOKUP(Rezultati[[#This Row],[Vpisna]], DomaceNaloge[Vpisna],DomaceNaloge[Skupaj]), 0)</f>
        <v>8</v>
      </c>
      <c r="E212">
        <f>_xlfn.IFNA(_xlfn.XLOOKUP(Rezultati[[#This Row],[Vpisna]], Izpit1[Vpisna],Izpit1[Skupaj]), "")</f>
        <v>0</v>
      </c>
      <c r="F212" t="str">
        <f>_xlfn.IFNA(_xlfn.XLOOKUP(Rezultati[[#This Row],[Vpisna]], Izpit1[Vpisna],Izpit1[Računalnik]), "")</f>
        <v>šolski</v>
      </c>
      <c r="G212" s="12" t="b">
        <v>1</v>
      </c>
      <c r="H212" t="str">
        <f>_xlfn.IFNA(_xlfn.XLOOKUP(Rezultati[[#This Row],[Vpisna]], Izpit2[Vpisna],Izpit2[Skupaj]), "")</f>
        <v/>
      </c>
      <c r="I212" t="str">
        <f>_xlfn.IFNA(_xlfn.XLOOKUP(Rezultati[[#This Row],[Vpisna]], Izpit2[Vpisna],Izpit2[Računalnik]), "")</f>
        <v/>
      </c>
      <c r="J212" s="12" t="b">
        <v>0</v>
      </c>
      <c r="K212" t="str">
        <f>_xlfn.IFNA(_xlfn.XLOOKUP(Rezultati[[#This Row],[Vpisna]], Izpit3[Vpisna],Izpit3[Skupaj]), "")</f>
        <v/>
      </c>
      <c r="L212" s="12" t="b">
        <v>0</v>
      </c>
      <c r="M212">
        <f>MAX(Rezultati[[#This Row],[1.izpit]],Rezultati[[#This Row],[2.izpit]],Rezultati[[#This Row],[3.izpit]])</f>
        <v>0</v>
      </c>
      <c r="N212"/>
      <c r="O212">
        <f>Rezultati[[#This Row],[DN]]+Rezultati[[#This Row],[Max]]+Rezultati[[#This Row],[Bonus]]</f>
        <v>8</v>
      </c>
      <c r="P212" cm="1">
        <f t="array" ref="P212">_xlfn.XLOOKUP(Rezultati[[#This Row],[Skupaj]],_xlfn.XLOOKUP(Rezultati[[#This Row],[Program]],Kriterij[[#Headers],[APF]:[PED]],Kriterij[[APF]:[PED]]), Kriterij[Ocena], "", -1, 2)</f>
        <v>5</v>
      </c>
    </row>
    <row r="213" spans="2:16" x14ac:dyDescent="0.2">
      <c r="B213">
        <v>27000211</v>
      </c>
      <c r="C213" t="s">
        <v>12</v>
      </c>
      <c r="D213">
        <f>_xlfn.IFNA(_xlfn.XLOOKUP(Rezultati[[#This Row],[Vpisna]], DomaceNaloge[Vpisna],DomaceNaloge[Skupaj]), 0)</f>
        <v>8</v>
      </c>
      <c r="E213">
        <f>_xlfn.IFNA(_xlfn.XLOOKUP(Rezultati[[#This Row],[Vpisna]], Izpit1[Vpisna],Izpit1[Skupaj]), "")</f>
        <v>95.5</v>
      </c>
      <c r="F213" t="str">
        <f>_xlfn.IFNA(_xlfn.XLOOKUP(Rezultati[[#This Row],[Vpisna]], Izpit1[Vpisna],Izpit1[Računalnik]), "")</f>
        <v>svoj</v>
      </c>
      <c r="G213" s="12" t="b">
        <v>1</v>
      </c>
      <c r="H213" t="str">
        <f>_xlfn.IFNA(_xlfn.XLOOKUP(Rezultati[[#This Row],[Vpisna]], Izpit2[Vpisna],Izpit2[Skupaj]), "")</f>
        <v/>
      </c>
      <c r="I213" t="str">
        <f>_xlfn.IFNA(_xlfn.XLOOKUP(Rezultati[[#This Row],[Vpisna]], Izpit2[Vpisna],Izpit2[Računalnik]), "")</f>
        <v/>
      </c>
      <c r="J213" s="12" t="b">
        <v>0</v>
      </c>
      <c r="K213" t="str">
        <f>_xlfn.IFNA(_xlfn.XLOOKUP(Rezultati[[#This Row],[Vpisna]], Izpit3[Vpisna],Izpit3[Skupaj]), "")</f>
        <v/>
      </c>
      <c r="L213" s="12" t="b">
        <v>0</v>
      </c>
      <c r="M213">
        <f>MAX(Rezultati[[#This Row],[1.izpit]],Rezultati[[#This Row],[2.izpit]],Rezultati[[#This Row],[3.izpit]])</f>
        <v>95.5</v>
      </c>
      <c r="N213"/>
      <c r="O213">
        <f>Rezultati[[#This Row],[DN]]+Rezultati[[#This Row],[Max]]+Rezultati[[#This Row],[Bonus]]</f>
        <v>103.5</v>
      </c>
      <c r="P213" cm="1">
        <f t="array" ref="P213">_xlfn.XLOOKUP(Rezultati[[#This Row],[Skupaj]],_xlfn.XLOOKUP(Rezultati[[#This Row],[Program]],Kriterij[[#Headers],[APF]:[PED]],Kriterij[[APF]:[PED]]), Kriterij[Ocena], "", -1, 2)</f>
        <v>10</v>
      </c>
    </row>
    <row r="214" spans="2:16" x14ac:dyDescent="0.2">
      <c r="B214">
        <v>27000212</v>
      </c>
      <c r="C214" t="s">
        <v>12</v>
      </c>
      <c r="D214">
        <f>_xlfn.IFNA(_xlfn.XLOOKUP(Rezultati[[#This Row],[Vpisna]], DomaceNaloge[Vpisna],DomaceNaloge[Skupaj]), 0)</f>
        <v>8</v>
      </c>
      <c r="E214">
        <f>_xlfn.IFNA(_xlfn.XLOOKUP(Rezultati[[#This Row],[Vpisna]], Izpit1[Vpisna],Izpit1[Skupaj]), "")</f>
        <v>65.5</v>
      </c>
      <c r="F214" t="str">
        <f>_xlfn.IFNA(_xlfn.XLOOKUP(Rezultati[[#This Row],[Vpisna]], Izpit1[Vpisna],Izpit1[Računalnik]), "")</f>
        <v>šolski</v>
      </c>
      <c r="G214" s="12" t="b">
        <v>1</v>
      </c>
      <c r="H214" t="str">
        <f>_xlfn.IFNA(_xlfn.XLOOKUP(Rezultati[[#This Row],[Vpisna]], Izpit2[Vpisna],Izpit2[Skupaj]), "")</f>
        <v/>
      </c>
      <c r="I214" t="str">
        <f>_xlfn.IFNA(_xlfn.XLOOKUP(Rezultati[[#This Row],[Vpisna]], Izpit2[Vpisna],Izpit2[Računalnik]), "")</f>
        <v/>
      </c>
      <c r="J214" s="12" t="b">
        <v>0</v>
      </c>
      <c r="K214" t="str">
        <f>_xlfn.IFNA(_xlfn.XLOOKUP(Rezultati[[#This Row],[Vpisna]], Izpit3[Vpisna],Izpit3[Skupaj]), "")</f>
        <v/>
      </c>
      <c r="L214" s="12" t="b">
        <v>0</v>
      </c>
      <c r="M214">
        <f>MAX(Rezultati[[#This Row],[1.izpit]],Rezultati[[#This Row],[2.izpit]],Rezultati[[#This Row],[3.izpit]])</f>
        <v>65.5</v>
      </c>
      <c r="N214"/>
      <c r="O214">
        <f>Rezultati[[#This Row],[DN]]+Rezultati[[#This Row],[Max]]+Rezultati[[#This Row],[Bonus]]</f>
        <v>73.5</v>
      </c>
      <c r="P214" cm="1">
        <f t="array" ref="P214">_xlfn.XLOOKUP(Rezultati[[#This Row],[Skupaj]],_xlfn.XLOOKUP(Rezultati[[#This Row],[Program]],Kriterij[[#Headers],[APF]:[PED]],Kriterij[[APF]:[PED]]), Kriterij[Ocena], "", -1, 2)</f>
        <v>8</v>
      </c>
    </row>
    <row r="215" spans="2:16" x14ac:dyDescent="0.2">
      <c r="B215">
        <v>27000213</v>
      </c>
      <c r="C215" t="s">
        <v>12</v>
      </c>
      <c r="D215">
        <f>_xlfn.IFNA(_xlfn.XLOOKUP(Rezultati[[#This Row],[Vpisna]], DomaceNaloge[Vpisna],DomaceNaloge[Skupaj]), 0)</f>
        <v>8</v>
      </c>
      <c r="E215">
        <f>_xlfn.IFNA(_xlfn.XLOOKUP(Rezultati[[#This Row],[Vpisna]], Izpit1[Vpisna],Izpit1[Skupaj]), "")</f>
        <v>96</v>
      </c>
      <c r="F215" t="str">
        <f>_xlfn.IFNA(_xlfn.XLOOKUP(Rezultati[[#This Row],[Vpisna]], Izpit1[Vpisna],Izpit1[Računalnik]), "")</f>
        <v>šolski</v>
      </c>
      <c r="G215" s="12" t="b">
        <v>1</v>
      </c>
      <c r="H215" t="str">
        <f>_xlfn.IFNA(_xlfn.XLOOKUP(Rezultati[[#This Row],[Vpisna]], Izpit2[Vpisna],Izpit2[Skupaj]), "")</f>
        <v/>
      </c>
      <c r="I215" t="str">
        <f>_xlfn.IFNA(_xlfn.XLOOKUP(Rezultati[[#This Row],[Vpisna]], Izpit2[Vpisna],Izpit2[Računalnik]), "")</f>
        <v/>
      </c>
      <c r="J215" s="12" t="b">
        <v>0</v>
      </c>
      <c r="K215" t="str">
        <f>_xlfn.IFNA(_xlfn.XLOOKUP(Rezultati[[#This Row],[Vpisna]], Izpit3[Vpisna],Izpit3[Skupaj]), "")</f>
        <v/>
      </c>
      <c r="L215" s="12" t="b">
        <v>0</v>
      </c>
      <c r="M215">
        <f>MAX(Rezultati[[#This Row],[1.izpit]],Rezultati[[#This Row],[2.izpit]],Rezultati[[#This Row],[3.izpit]])</f>
        <v>96</v>
      </c>
      <c r="N215"/>
      <c r="O215">
        <f>Rezultati[[#This Row],[DN]]+Rezultati[[#This Row],[Max]]+Rezultati[[#This Row],[Bonus]]</f>
        <v>104</v>
      </c>
      <c r="P215" cm="1">
        <f t="array" ref="P215">_xlfn.XLOOKUP(Rezultati[[#This Row],[Skupaj]],_xlfn.XLOOKUP(Rezultati[[#This Row],[Program]],Kriterij[[#Headers],[APF]:[PED]],Kriterij[[APF]:[PED]]), Kriterij[Ocena], "", -1, 2)</f>
        <v>10</v>
      </c>
    </row>
    <row r="216" spans="2:16" x14ac:dyDescent="0.2">
      <c r="B216">
        <v>27000214</v>
      </c>
      <c r="C216" t="s">
        <v>12</v>
      </c>
      <c r="D216">
        <f>_xlfn.IFNA(_xlfn.XLOOKUP(Rezultati[[#This Row],[Vpisna]], DomaceNaloge[Vpisna],DomaceNaloge[Skupaj]), 0)</f>
        <v>4</v>
      </c>
      <c r="E216" t="str">
        <f>_xlfn.IFNA(_xlfn.XLOOKUP(Rezultati[[#This Row],[Vpisna]], Izpit1[Vpisna],Izpit1[Skupaj]), "")</f>
        <v/>
      </c>
      <c r="F216" t="str">
        <f>_xlfn.IFNA(_xlfn.XLOOKUP(Rezultati[[#This Row],[Vpisna]], Izpit1[Vpisna],Izpit1[Računalnik]), "")</f>
        <v/>
      </c>
      <c r="G216" s="12" t="b">
        <v>0</v>
      </c>
      <c r="H216" t="str">
        <f>_xlfn.IFNA(_xlfn.XLOOKUP(Rezultati[[#This Row],[Vpisna]], Izpit2[Vpisna],Izpit2[Skupaj]), "")</f>
        <v/>
      </c>
      <c r="I216" t="str">
        <f>_xlfn.IFNA(_xlfn.XLOOKUP(Rezultati[[#This Row],[Vpisna]], Izpit2[Vpisna],Izpit2[Računalnik]), "")</f>
        <v/>
      </c>
      <c r="J216" s="12" t="b">
        <v>0</v>
      </c>
      <c r="K216" t="str">
        <f>_xlfn.IFNA(_xlfn.XLOOKUP(Rezultati[[#This Row],[Vpisna]], Izpit3[Vpisna],Izpit3[Skupaj]), "")</f>
        <v/>
      </c>
      <c r="L216" s="12" t="b">
        <v>0</v>
      </c>
      <c r="M216">
        <f>MAX(Rezultati[[#This Row],[1.izpit]],Rezultati[[#This Row],[2.izpit]],Rezultati[[#This Row],[3.izpit]])</f>
        <v>0</v>
      </c>
      <c r="N216"/>
      <c r="O216">
        <f>Rezultati[[#This Row],[DN]]+Rezultati[[#This Row],[Max]]+Rezultati[[#This Row],[Bonus]]</f>
        <v>4</v>
      </c>
      <c r="P216" cm="1">
        <f t="array" ref="P216">_xlfn.XLOOKUP(Rezultati[[#This Row],[Skupaj]],_xlfn.XLOOKUP(Rezultati[[#This Row],[Program]],Kriterij[[#Headers],[APF]:[PED]],Kriterij[[APF]:[PED]]), Kriterij[Ocena], "", -1, 2)</f>
        <v>5</v>
      </c>
    </row>
    <row r="217" spans="2:16" x14ac:dyDescent="0.2">
      <c r="B217">
        <v>27000215</v>
      </c>
      <c r="C217" t="s">
        <v>12</v>
      </c>
      <c r="D217">
        <f>_xlfn.IFNA(_xlfn.XLOOKUP(Rezultati[[#This Row],[Vpisna]], DomaceNaloge[Vpisna],DomaceNaloge[Skupaj]), 0)</f>
        <v>0</v>
      </c>
      <c r="E217" t="str">
        <f>_xlfn.IFNA(_xlfn.XLOOKUP(Rezultati[[#This Row],[Vpisna]], Izpit1[Vpisna],Izpit1[Skupaj]), "")</f>
        <v/>
      </c>
      <c r="F217" t="str">
        <f>_xlfn.IFNA(_xlfn.XLOOKUP(Rezultati[[#This Row],[Vpisna]], Izpit1[Vpisna],Izpit1[Računalnik]), "")</f>
        <v/>
      </c>
      <c r="G217" s="12" t="b">
        <v>0</v>
      </c>
      <c r="H217" t="str">
        <f>_xlfn.IFNA(_xlfn.XLOOKUP(Rezultati[[#This Row],[Vpisna]], Izpit2[Vpisna],Izpit2[Skupaj]), "")</f>
        <v/>
      </c>
      <c r="I217" t="str">
        <f>_xlfn.IFNA(_xlfn.XLOOKUP(Rezultati[[#This Row],[Vpisna]], Izpit2[Vpisna],Izpit2[Računalnik]), "")</f>
        <v/>
      </c>
      <c r="J217" s="12" t="b">
        <v>0</v>
      </c>
      <c r="K217" t="str">
        <f>_xlfn.IFNA(_xlfn.XLOOKUP(Rezultati[[#This Row],[Vpisna]], Izpit3[Vpisna],Izpit3[Skupaj]), "")</f>
        <v/>
      </c>
      <c r="L217" s="12" t="b">
        <v>0</v>
      </c>
      <c r="M217">
        <f>MAX(Rezultati[[#This Row],[1.izpit]],Rezultati[[#This Row],[2.izpit]],Rezultati[[#This Row],[3.izpit]])</f>
        <v>0</v>
      </c>
      <c r="N217"/>
      <c r="O217">
        <f>Rezultati[[#This Row],[DN]]+Rezultati[[#This Row],[Max]]+Rezultati[[#This Row],[Bonus]]</f>
        <v>0</v>
      </c>
      <c r="P217" t="str" cm="1">
        <f t="array" ref="P217">_xlfn.XLOOKUP(Rezultati[[#This Row],[Skupaj]],_xlfn.XLOOKUP(Rezultati[[#This Row],[Program]],Kriterij[[#Headers],[APF]:[PED]],Kriterij[[APF]:[PED]]), Kriterij[Ocena], "", -1, 2)</f>
        <v/>
      </c>
    </row>
    <row r="218" spans="2:16" x14ac:dyDescent="0.2">
      <c r="B218">
        <v>27000216</v>
      </c>
      <c r="C218" t="s">
        <v>12</v>
      </c>
      <c r="D218">
        <f>_xlfn.IFNA(_xlfn.XLOOKUP(Rezultati[[#This Row],[Vpisna]], DomaceNaloge[Vpisna],DomaceNaloge[Skupaj]), 0)</f>
        <v>9</v>
      </c>
      <c r="E218">
        <f>_xlfn.IFNA(_xlfn.XLOOKUP(Rezultati[[#This Row],[Vpisna]], Izpit1[Vpisna],Izpit1[Skupaj]), "")</f>
        <v>90</v>
      </c>
      <c r="F218" t="str">
        <f>_xlfn.IFNA(_xlfn.XLOOKUP(Rezultati[[#This Row],[Vpisna]], Izpit1[Vpisna],Izpit1[Računalnik]), "")</f>
        <v>svoj</v>
      </c>
      <c r="G218" s="12" t="b">
        <v>1</v>
      </c>
      <c r="H218" t="str">
        <f>_xlfn.IFNA(_xlfn.XLOOKUP(Rezultati[[#This Row],[Vpisna]], Izpit2[Vpisna],Izpit2[Skupaj]), "")</f>
        <v/>
      </c>
      <c r="I218" t="str">
        <f>_xlfn.IFNA(_xlfn.XLOOKUP(Rezultati[[#This Row],[Vpisna]], Izpit2[Vpisna],Izpit2[Računalnik]), "")</f>
        <v/>
      </c>
      <c r="J218" s="12" t="b">
        <v>0</v>
      </c>
      <c r="K218" t="str">
        <f>_xlfn.IFNA(_xlfn.XLOOKUP(Rezultati[[#This Row],[Vpisna]], Izpit3[Vpisna],Izpit3[Skupaj]), "")</f>
        <v/>
      </c>
      <c r="L218" s="12" t="b">
        <v>0</v>
      </c>
      <c r="M218">
        <f>MAX(Rezultati[[#This Row],[1.izpit]],Rezultati[[#This Row],[2.izpit]],Rezultati[[#This Row],[3.izpit]])</f>
        <v>90</v>
      </c>
      <c r="N218"/>
      <c r="O218">
        <f>Rezultati[[#This Row],[DN]]+Rezultati[[#This Row],[Max]]+Rezultati[[#This Row],[Bonus]]</f>
        <v>99</v>
      </c>
      <c r="P218" cm="1">
        <f t="array" ref="P218">_xlfn.XLOOKUP(Rezultati[[#This Row],[Skupaj]],_xlfn.XLOOKUP(Rezultati[[#This Row],[Program]],Kriterij[[#Headers],[APF]:[PED]],Kriterij[[APF]:[PED]]), Kriterij[Ocena], "", -1, 2)</f>
        <v>10</v>
      </c>
    </row>
    <row r="219" spans="2:16" x14ac:dyDescent="0.2">
      <c r="B219">
        <v>27000217</v>
      </c>
      <c r="C219" t="s">
        <v>12</v>
      </c>
      <c r="D219">
        <f>_xlfn.IFNA(_xlfn.XLOOKUP(Rezultati[[#This Row],[Vpisna]], DomaceNaloge[Vpisna],DomaceNaloge[Skupaj]), 0)</f>
        <v>8</v>
      </c>
      <c r="E219">
        <f>_xlfn.IFNA(_xlfn.XLOOKUP(Rezultati[[#This Row],[Vpisna]], Izpit1[Vpisna],Izpit1[Skupaj]), "")</f>
        <v>98</v>
      </c>
      <c r="F219" t="str">
        <f>_xlfn.IFNA(_xlfn.XLOOKUP(Rezultati[[#This Row],[Vpisna]], Izpit1[Vpisna],Izpit1[Računalnik]), "")</f>
        <v>svoj</v>
      </c>
      <c r="G219" s="12" t="b">
        <v>1</v>
      </c>
      <c r="H219" t="str">
        <f>_xlfn.IFNA(_xlfn.XLOOKUP(Rezultati[[#This Row],[Vpisna]], Izpit2[Vpisna],Izpit2[Skupaj]), "")</f>
        <v/>
      </c>
      <c r="I219" t="str">
        <f>_xlfn.IFNA(_xlfn.XLOOKUP(Rezultati[[#This Row],[Vpisna]], Izpit2[Vpisna],Izpit2[Računalnik]), "")</f>
        <v/>
      </c>
      <c r="J219" s="12" t="b">
        <v>0</v>
      </c>
      <c r="K219" t="str">
        <f>_xlfn.IFNA(_xlfn.XLOOKUP(Rezultati[[#This Row],[Vpisna]], Izpit3[Vpisna],Izpit3[Skupaj]), "")</f>
        <v/>
      </c>
      <c r="L219" s="12" t="b">
        <v>0</v>
      </c>
      <c r="M219">
        <f>MAX(Rezultati[[#This Row],[1.izpit]],Rezultati[[#This Row],[2.izpit]],Rezultati[[#This Row],[3.izpit]])</f>
        <v>98</v>
      </c>
      <c r="N219"/>
      <c r="O219">
        <f>Rezultati[[#This Row],[DN]]+Rezultati[[#This Row],[Max]]+Rezultati[[#This Row],[Bonus]]</f>
        <v>106</v>
      </c>
      <c r="P219" cm="1">
        <f t="array" ref="P219">_xlfn.XLOOKUP(Rezultati[[#This Row],[Skupaj]],_xlfn.XLOOKUP(Rezultati[[#This Row],[Program]],Kriterij[[#Headers],[APF]:[PED]],Kriterij[[APF]:[PED]]), Kriterij[Ocena], "", -1, 2)</f>
        <v>10</v>
      </c>
    </row>
    <row r="220" spans="2:16" x14ac:dyDescent="0.2">
      <c r="B220">
        <v>27000218</v>
      </c>
      <c r="C220" t="s">
        <v>12</v>
      </c>
      <c r="D220">
        <f>_xlfn.IFNA(_xlfn.XLOOKUP(Rezultati[[#This Row],[Vpisna]], DomaceNaloge[Vpisna],DomaceNaloge[Skupaj]), 0)</f>
        <v>0</v>
      </c>
      <c r="E220" t="str">
        <f>_xlfn.IFNA(_xlfn.XLOOKUP(Rezultati[[#This Row],[Vpisna]], Izpit1[Vpisna],Izpit1[Skupaj]), "")</f>
        <v/>
      </c>
      <c r="F220" t="str">
        <f>_xlfn.IFNA(_xlfn.XLOOKUP(Rezultati[[#This Row],[Vpisna]], Izpit1[Vpisna],Izpit1[Računalnik]), "")</f>
        <v/>
      </c>
      <c r="G220" s="12" t="b">
        <v>0</v>
      </c>
      <c r="H220" t="str">
        <f>_xlfn.IFNA(_xlfn.XLOOKUP(Rezultati[[#This Row],[Vpisna]], Izpit2[Vpisna],Izpit2[Skupaj]), "")</f>
        <v/>
      </c>
      <c r="I220" t="str">
        <f>_xlfn.IFNA(_xlfn.XLOOKUP(Rezultati[[#This Row],[Vpisna]], Izpit2[Vpisna],Izpit2[Računalnik]), "")</f>
        <v/>
      </c>
      <c r="J220" s="12" t="b">
        <v>0</v>
      </c>
      <c r="K220" t="str">
        <f>_xlfn.IFNA(_xlfn.XLOOKUP(Rezultati[[#This Row],[Vpisna]], Izpit3[Vpisna],Izpit3[Skupaj]), "")</f>
        <v/>
      </c>
      <c r="L220" s="12" t="b">
        <v>0</v>
      </c>
      <c r="M220">
        <f>MAX(Rezultati[[#This Row],[1.izpit]],Rezultati[[#This Row],[2.izpit]],Rezultati[[#This Row],[3.izpit]])</f>
        <v>0</v>
      </c>
      <c r="N220"/>
      <c r="O220">
        <f>Rezultati[[#This Row],[DN]]+Rezultati[[#This Row],[Max]]+Rezultati[[#This Row],[Bonus]]</f>
        <v>0</v>
      </c>
      <c r="P220" t="str" cm="1">
        <f t="array" ref="P220">_xlfn.XLOOKUP(Rezultati[[#This Row],[Skupaj]],_xlfn.XLOOKUP(Rezultati[[#This Row],[Program]],Kriterij[[#Headers],[APF]:[PED]],Kriterij[[APF]:[PED]]), Kriterij[Ocena], "", -1, 2)</f>
        <v/>
      </c>
    </row>
    <row r="221" spans="2:16" x14ac:dyDescent="0.2">
      <c r="B221">
        <v>27000219</v>
      </c>
      <c r="C221" t="s">
        <v>12</v>
      </c>
      <c r="D221">
        <f>_xlfn.IFNA(_xlfn.XLOOKUP(Rezultati[[#This Row],[Vpisna]], DomaceNaloge[Vpisna],DomaceNaloge[Skupaj]), 0)</f>
        <v>0</v>
      </c>
      <c r="E221" t="str">
        <f>_xlfn.IFNA(_xlfn.XLOOKUP(Rezultati[[#This Row],[Vpisna]], Izpit1[Vpisna],Izpit1[Skupaj]), "")</f>
        <v/>
      </c>
      <c r="F221" t="str">
        <f>_xlfn.IFNA(_xlfn.XLOOKUP(Rezultati[[#This Row],[Vpisna]], Izpit1[Vpisna],Izpit1[Računalnik]), "")</f>
        <v/>
      </c>
      <c r="G221" s="12" t="b">
        <v>0</v>
      </c>
      <c r="H221" t="str">
        <f>_xlfn.IFNA(_xlfn.XLOOKUP(Rezultati[[#This Row],[Vpisna]], Izpit2[Vpisna],Izpit2[Skupaj]), "")</f>
        <v/>
      </c>
      <c r="I221" t="str">
        <f>_xlfn.IFNA(_xlfn.XLOOKUP(Rezultati[[#This Row],[Vpisna]], Izpit2[Vpisna],Izpit2[Računalnik]), "")</f>
        <v/>
      </c>
      <c r="J221" s="12" t="b">
        <v>0</v>
      </c>
      <c r="K221" t="str">
        <f>_xlfn.IFNA(_xlfn.XLOOKUP(Rezultati[[#This Row],[Vpisna]], Izpit3[Vpisna],Izpit3[Skupaj]), "")</f>
        <v/>
      </c>
      <c r="L221" s="12" t="b">
        <v>0</v>
      </c>
      <c r="M221">
        <f>MAX(Rezultati[[#This Row],[1.izpit]],Rezultati[[#This Row],[2.izpit]],Rezultati[[#This Row],[3.izpit]])</f>
        <v>0</v>
      </c>
      <c r="N221"/>
      <c r="O221">
        <f>Rezultati[[#This Row],[DN]]+Rezultati[[#This Row],[Max]]+Rezultati[[#This Row],[Bonus]]</f>
        <v>0</v>
      </c>
      <c r="P221" t="str" cm="1">
        <f t="array" ref="P221">_xlfn.XLOOKUP(Rezultati[[#This Row],[Skupaj]],_xlfn.XLOOKUP(Rezultati[[#This Row],[Program]],Kriterij[[#Headers],[APF]:[PED]],Kriterij[[APF]:[PED]]), Kriterij[Ocena], "", -1, 2)</f>
        <v/>
      </c>
    </row>
    <row r="222" spans="2:16" x14ac:dyDescent="0.2">
      <c r="B222">
        <v>27000220</v>
      </c>
      <c r="C222" t="s">
        <v>12</v>
      </c>
      <c r="D222">
        <f>_xlfn.IFNA(_xlfn.XLOOKUP(Rezultati[[#This Row],[Vpisna]], DomaceNaloge[Vpisna],DomaceNaloge[Skupaj]), 0)</f>
        <v>0</v>
      </c>
      <c r="E222" t="str">
        <f>_xlfn.IFNA(_xlfn.XLOOKUP(Rezultati[[#This Row],[Vpisna]], Izpit1[Vpisna],Izpit1[Skupaj]), "")</f>
        <v/>
      </c>
      <c r="F222" t="str">
        <f>_xlfn.IFNA(_xlfn.XLOOKUP(Rezultati[[#This Row],[Vpisna]], Izpit1[Vpisna],Izpit1[Računalnik]), "")</f>
        <v/>
      </c>
      <c r="G222" s="12" t="b">
        <v>0</v>
      </c>
      <c r="H222" t="str">
        <f>_xlfn.IFNA(_xlfn.XLOOKUP(Rezultati[[#This Row],[Vpisna]], Izpit2[Vpisna],Izpit2[Skupaj]), "")</f>
        <v/>
      </c>
      <c r="I222" t="str">
        <f>_xlfn.IFNA(_xlfn.XLOOKUP(Rezultati[[#This Row],[Vpisna]], Izpit2[Vpisna],Izpit2[Računalnik]), "")</f>
        <v/>
      </c>
      <c r="J222" s="12" t="b">
        <v>0</v>
      </c>
      <c r="K222" t="str">
        <f>_xlfn.IFNA(_xlfn.XLOOKUP(Rezultati[[#This Row],[Vpisna]], Izpit3[Vpisna],Izpit3[Skupaj]), "")</f>
        <v/>
      </c>
      <c r="L222" s="12" t="b">
        <v>0</v>
      </c>
      <c r="M222">
        <f>MAX(Rezultati[[#This Row],[1.izpit]],Rezultati[[#This Row],[2.izpit]],Rezultati[[#This Row],[3.izpit]])</f>
        <v>0</v>
      </c>
      <c r="N222"/>
      <c r="O222">
        <f>Rezultati[[#This Row],[DN]]+Rezultati[[#This Row],[Max]]+Rezultati[[#This Row],[Bonus]]</f>
        <v>0</v>
      </c>
      <c r="P222" t="str" cm="1">
        <f t="array" ref="P222">_xlfn.XLOOKUP(Rezultati[[#This Row],[Skupaj]],_xlfn.XLOOKUP(Rezultati[[#This Row],[Program]],Kriterij[[#Headers],[APF]:[PED]],Kriterij[[APF]:[PED]]), Kriterij[Ocena], "", -1, 2)</f>
        <v/>
      </c>
    </row>
    <row r="223" spans="2:16" x14ac:dyDescent="0.2">
      <c r="B223">
        <v>27000221</v>
      </c>
      <c r="C223" t="s">
        <v>12</v>
      </c>
      <c r="D223">
        <f>_xlfn.IFNA(_xlfn.XLOOKUP(Rezultati[[#This Row],[Vpisna]], DomaceNaloge[Vpisna],DomaceNaloge[Skupaj]), 0)</f>
        <v>7</v>
      </c>
      <c r="E223">
        <f>_xlfn.IFNA(_xlfn.XLOOKUP(Rezultati[[#This Row],[Vpisna]], Izpit1[Vpisna],Izpit1[Skupaj]), "")</f>
        <v>60</v>
      </c>
      <c r="F223" t="str">
        <f>_xlfn.IFNA(_xlfn.XLOOKUP(Rezultati[[#This Row],[Vpisna]], Izpit1[Vpisna],Izpit1[Računalnik]), "")</f>
        <v>šolski</v>
      </c>
      <c r="G223" s="12" t="b">
        <v>1</v>
      </c>
      <c r="H223" t="str">
        <f>_xlfn.IFNA(_xlfn.XLOOKUP(Rezultati[[#This Row],[Vpisna]], Izpit2[Vpisna],Izpit2[Skupaj]), "")</f>
        <v/>
      </c>
      <c r="I223" t="str">
        <f>_xlfn.IFNA(_xlfn.XLOOKUP(Rezultati[[#This Row],[Vpisna]], Izpit2[Vpisna],Izpit2[Računalnik]), "")</f>
        <v/>
      </c>
      <c r="J223" s="12" t="b">
        <v>0</v>
      </c>
      <c r="K223" t="str">
        <f>_xlfn.IFNA(_xlfn.XLOOKUP(Rezultati[[#This Row],[Vpisna]], Izpit3[Vpisna],Izpit3[Skupaj]), "")</f>
        <v/>
      </c>
      <c r="L223" s="12" t="b">
        <v>0</v>
      </c>
      <c r="M223">
        <f>MAX(Rezultati[[#This Row],[1.izpit]],Rezultati[[#This Row],[2.izpit]],Rezultati[[#This Row],[3.izpit]])</f>
        <v>60</v>
      </c>
      <c r="N223"/>
      <c r="O223">
        <f>Rezultati[[#This Row],[DN]]+Rezultati[[#This Row],[Max]]+Rezultati[[#This Row],[Bonus]]</f>
        <v>67</v>
      </c>
      <c r="P223" cm="1">
        <f t="array" ref="P223">_xlfn.XLOOKUP(Rezultati[[#This Row],[Skupaj]],_xlfn.XLOOKUP(Rezultati[[#This Row],[Program]],Kriterij[[#Headers],[APF]:[PED]],Kriterij[[APF]:[PED]]), Kriterij[Ocena], "", -1, 2)</f>
        <v>7</v>
      </c>
    </row>
    <row r="224" spans="2:16" x14ac:dyDescent="0.2">
      <c r="B224">
        <v>27000222</v>
      </c>
      <c r="C224" t="s">
        <v>12</v>
      </c>
      <c r="D224">
        <f>_xlfn.IFNA(_xlfn.XLOOKUP(Rezultati[[#This Row],[Vpisna]], DomaceNaloge[Vpisna],DomaceNaloge[Skupaj]), 0)</f>
        <v>0</v>
      </c>
      <c r="E224" t="str">
        <f>_xlfn.IFNA(_xlfn.XLOOKUP(Rezultati[[#This Row],[Vpisna]], Izpit1[Vpisna],Izpit1[Skupaj]), "")</f>
        <v/>
      </c>
      <c r="F224" t="str">
        <f>_xlfn.IFNA(_xlfn.XLOOKUP(Rezultati[[#This Row],[Vpisna]], Izpit1[Vpisna],Izpit1[Računalnik]), "")</f>
        <v/>
      </c>
      <c r="G224" s="12" t="b">
        <v>0</v>
      </c>
      <c r="H224" t="str">
        <f>_xlfn.IFNA(_xlfn.XLOOKUP(Rezultati[[#This Row],[Vpisna]], Izpit2[Vpisna],Izpit2[Skupaj]), "")</f>
        <v/>
      </c>
      <c r="I224" t="str">
        <f>_xlfn.IFNA(_xlfn.XLOOKUP(Rezultati[[#This Row],[Vpisna]], Izpit2[Vpisna],Izpit2[Računalnik]), "")</f>
        <v/>
      </c>
      <c r="J224" s="12" t="b">
        <v>0</v>
      </c>
      <c r="K224" t="str">
        <f>_xlfn.IFNA(_xlfn.XLOOKUP(Rezultati[[#This Row],[Vpisna]], Izpit3[Vpisna],Izpit3[Skupaj]), "")</f>
        <v/>
      </c>
      <c r="L224" s="12" t="b">
        <v>0</v>
      </c>
      <c r="M224">
        <f>MAX(Rezultati[[#This Row],[1.izpit]],Rezultati[[#This Row],[2.izpit]],Rezultati[[#This Row],[3.izpit]])</f>
        <v>0</v>
      </c>
      <c r="N224"/>
      <c r="O224">
        <f>Rezultati[[#This Row],[DN]]+Rezultati[[#This Row],[Max]]+Rezultati[[#This Row],[Bonus]]</f>
        <v>0</v>
      </c>
      <c r="P224" t="str" cm="1">
        <f t="array" ref="P224">_xlfn.XLOOKUP(Rezultati[[#This Row],[Skupaj]],_xlfn.XLOOKUP(Rezultati[[#This Row],[Program]],Kriterij[[#Headers],[APF]:[PED]],Kriterij[[APF]:[PED]]), Kriterij[Ocena], "", -1, 2)</f>
        <v/>
      </c>
    </row>
    <row r="225" spans="2:16" x14ac:dyDescent="0.2">
      <c r="B225">
        <v>27000223</v>
      </c>
      <c r="C225" t="s">
        <v>12</v>
      </c>
      <c r="D225">
        <f>_xlfn.IFNA(_xlfn.XLOOKUP(Rezultati[[#This Row],[Vpisna]], DomaceNaloge[Vpisna],DomaceNaloge[Skupaj]), 0)</f>
        <v>9</v>
      </c>
      <c r="E225">
        <f>_xlfn.IFNA(_xlfn.XLOOKUP(Rezultati[[#This Row],[Vpisna]], Izpit1[Vpisna],Izpit1[Skupaj]), "")</f>
        <v>97.5</v>
      </c>
      <c r="F225" t="str">
        <f>_xlfn.IFNA(_xlfn.XLOOKUP(Rezultati[[#This Row],[Vpisna]], Izpit1[Vpisna],Izpit1[Računalnik]), "")</f>
        <v>svoj</v>
      </c>
      <c r="G225" s="12" t="b">
        <v>1</v>
      </c>
      <c r="H225" t="str">
        <f>_xlfn.IFNA(_xlfn.XLOOKUP(Rezultati[[#This Row],[Vpisna]], Izpit2[Vpisna],Izpit2[Skupaj]), "")</f>
        <v/>
      </c>
      <c r="I225" t="str">
        <f>_xlfn.IFNA(_xlfn.XLOOKUP(Rezultati[[#This Row],[Vpisna]], Izpit2[Vpisna],Izpit2[Računalnik]), "")</f>
        <v/>
      </c>
      <c r="J225" s="12" t="b">
        <v>0</v>
      </c>
      <c r="K225" t="str">
        <f>_xlfn.IFNA(_xlfn.XLOOKUP(Rezultati[[#This Row],[Vpisna]], Izpit3[Vpisna],Izpit3[Skupaj]), "")</f>
        <v/>
      </c>
      <c r="L225" s="12" t="b">
        <v>0</v>
      </c>
      <c r="M225">
        <f>MAX(Rezultati[[#This Row],[1.izpit]],Rezultati[[#This Row],[2.izpit]],Rezultati[[#This Row],[3.izpit]])</f>
        <v>97.5</v>
      </c>
      <c r="N225"/>
      <c r="O225">
        <f>Rezultati[[#This Row],[DN]]+Rezultati[[#This Row],[Max]]+Rezultati[[#This Row],[Bonus]]</f>
        <v>106.5</v>
      </c>
      <c r="P225" cm="1">
        <f t="array" ref="P225">_xlfn.XLOOKUP(Rezultati[[#This Row],[Skupaj]],_xlfn.XLOOKUP(Rezultati[[#This Row],[Program]],Kriterij[[#Headers],[APF]:[PED]],Kriterij[[APF]:[PED]]), Kriterij[Ocena], "", -1, 2)</f>
        <v>10</v>
      </c>
    </row>
    <row r="226" spans="2:16" x14ac:dyDescent="0.2">
      <c r="B226">
        <v>27000224</v>
      </c>
      <c r="C226" t="s">
        <v>12</v>
      </c>
      <c r="D226">
        <f>_xlfn.IFNA(_xlfn.XLOOKUP(Rezultati[[#This Row],[Vpisna]], DomaceNaloge[Vpisna],DomaceNaloge[Skupaj]), 0)</f>
        <v>0</v>
      </c>
      <c r="E226" t="str">
        <f>_xlfn.IFNA(_xlfn.XLOOKUP(Rezultati[[#This Row],[Vpisna]], Izpit1[Vpisna],Izpit1[Skupaj]), "")</f>
        <v/>
      </c>
      <c r="F226" t="str">
        <f>_xlfn.IFNA(_xlfn.XLOOKUP(Rezultati[[#This Row],[Vpisna]], Izpit1[Vpisna],Izpit1[Računalnik]), "")</f>
        <v/>
      </c>
      <c r="G226" s="12" t="b">
        <v>0</v>
      </c>
      <c r="H226" t="str">
        <f>_xlfn.IFNA(_xlfn.XLOOKUP(Rezultati[[#This Row],[Vpisna]], Izpit2[Vpisna],Izpit2[Skupaj]), "")</f>
        <v/>
      </c>
      <c r="I226" t="str">
        <f>_xlfn.IFNA(_xlfn.XLOOKUP(Rezultati[[#This Row],[Vpisna]], Izpit2[Vpisna],Izpit2[Računalnik]), "")</f>
        <v/>
      </c>
      <c r="J226" s="12" t="b">
        <v>0</v>
      </c>
      <c r="K226" t="str">
        <f>_xlfn.IFNA(_xlfn.XLOOKUP(Rezultati[[#This Row],[Vpisna]], Izpit3[Vpisna],Izpit3[Skupaj]), "")</f>
        <v/>
      </c>
      <c r="L226" s="12" t="b">
        <v>0</v>
      </c>
      <c r="M226">
        <f>MAX(Rezultati[[#This Row],[1.izpit]],Rezultati[[#This Row],[2.izpit]],Rezultati[[#This Row],[3.izpit]])</f>
        <v>0</v>
      </c>
      <c r="N226"/>
      <c r="O226">
        <f>Rezultati[[#This Row],[DN]]+Rezultati[[#This Row],[Max]]+Rezultati[[#This Row],[Bonus]]</f>
        <v>0</v>
      </c>
      <c r="P226" t="str" cm="1">
        <f t="array" ref="P226">_xlfn.XLOOKUP(Rezultati[[#This Row],[Skupaj]],_xlfn.XLOOKUP(Rezultati[[#This Row],[Program]],Kriterij[[#Headers],[APF]:[PED]],Kriterij[[APF]:[PED]]), Kriterij[Ocena], "", -1, 2)</f>
        <v/>
      </c>
    </row>
    <row r="227" spans="2:16" x14ac:dyDescent="0.2">
      <c r="B227">
        <v>27000225</v>
      </c>
      <c r="C227" t="s">
        <v>12</v>
      </c>
      <c r="D227">
        <f>_xlfn.IFNA(_xlfn.XLOOKUP(Rezultati[[#This Row],[Vpisna]], DomaceNaloge[Vpisna],DomaceNaloge[Skupaj]), 0)</f>
        <v>9</v>
      </c>
      <c r="E227">
        <f>_xlfn.IFNA(_xlfn.XLOOKUP(Rezultati[[#This Row],[Vpisna]], Izpit1[Vpisna],Izpit1[Skupaj]), "")</f>
        <v>97</v>
      </c>
      <c r="F227" t="str">
        <f>_xlfn.IFNA(_xlfn.XLOOKUP(Rezultati[[#This Row],[Vpisna]], Izpit1[Vpisna],Izpit1[Računalnik]), "")</f>
        <v>svoj</v>
      </c>
      <c r="G227" s="12" t="b">
        <v>1</v>
      </c>
      <c r="H227" t="str">
        <f>_xlfn.IFNA(_xlfn.XLOOKUP(Rezultati[[#This Row],[Vpisna]], Izpit2[Vpisna],Izpit2[Skupaj]), "")</f>
        <v/>
      </c>
      <c r="I227" t="str">
        <f>_xlfn.IFNA(_xlfn.XLOOKUP(Rezultati[[#This Row],[Vpisna]], Izpit2[Vpisna],Izpit2[Računalnik]), "")</f>
        <v/>
      </c>
      <c r="J227" s="12" t="b">
        <v>0</v>
      </c>
      <c r="K227" t="str">
        <f>_xlfn.IFNA(_xlfn.XLOOKUP(Rezultati[[#This Row],[Vpisna]], Izpit3[Vpisna],Izpit3[Skupaj]), "")</f>
        <v/>
      </c>
      <c r="L227" s="12" t="b">
        <v>0</v>
      </c>
      <c r="M227">
        <f>MAX(Rezultati[[#This Row],[1.izpit]],Rezultati[[#This Row],[2.izpit]],Rezultati[[#This Row],[3.izpit]])</f>
        <v>97</v>
      </c>
      <c r="N227"/>
      <c r="O227">
        <f>Rezultati[[#This Row],[DN]]+Rezultati[[#This Row],[Max]]+Rezultati[[#This Row],[Bonus]]</f>
        <v>106</v>
      </c>
      <c r="P227" cm="1">
        <f t="array" ref="P227">_xlfn.XLOOKUP(Rezultati[[#This Row],[Skupaj]],_xlfn.XLOOKUP(Rezultati[[#This Row],[Program]],Kriterij[[#Headers],[APF]:[PED]],Kriterij[[APF]:[PED]]), Kriterij[Ocena], "", -1, 2)</f>
        <v>10</v>
      </c>
    </row>
    <row r="228" spans="2:16" x14ac:dyDescent="0.2">
      <c r="B228">
        <v>27000226</v>
      </c>
      <c r="C228" t="s">
        <v>12</v>
      </c>
      <c r="D228">
        <f>_xlfn.IFNA(_xlfn.XLOOKUP(Rezultati[[#This Row],[Vpisna]], DomaceNaloge[Vpisna],DomaceNaloge[Skupaj]), 0)</f>
        <v>7</v>
      </c>
      <c r="E228">
        <f>_xlfn.IFNA(_xlfn.XLOOKUP(Rezultati[[#This Row],[Vpisna]], Izpit1[Vpisna],Izpit1[Skupaj]), "")</f>
        <v>80</v>
      </c>
      <c r="F228" t="str">
        <f>_xlfn.IFNA(_xlfn.XLOOKUP(Rezultati[[#This Row],[Vpisna]], Izpit1[Vpisna],Izpit1[Računalnik]), "")</f>
        <v>šolski</v>
      </c>
      <c r="G228" s="12" t="b">
        <v>1</v>
      </c>
      <c r="H228" t="str">
        <f>_xlfn.IFNA(_xlfn.XLOOKUP(Rezultati[[#This Row],[Vpisna]], Izpit2[Vpisna],Izpit2[Skupaj]), "")</f>
        <v/>
      </c>
      <c r="I228" t="str">
        <f>_xlfn.IFNA(_xlfn.XLOOKUP(Rezultati[[#This Row],[Vpisna]], Izpit2[Vpisna],Izpit2[Računalnik]), "")</f>
        <v/>
      </c>
      <c r="J228" s="12" t="b">
        <v>0</v>
      </c>
      <c r="K228" t="str">
        <f>_xlfn.IFNA(_xlfn.XLOOKUP(Rezultati[[#This Row],[Vpisna]], Izpit3[Vpisna],Izpit3[Skupaj]), "")</f>
        <v/>
      </c>
      <c r="L228" s="12" t="b">
        <v>0</v>
      </c>
      <c r="M228">
        <f>MAX(Rezultati[[#This Row],[1.izpit]],Rezultati[[#This Row],[2.izpit]],Rezultati[[#This Row],[3.izpit]])</f>
        <v>80</v>
      </c>
      <c r="N228"/>
      <c r="O228">
        <f>Rezultati[[#This Row],[DN]]+Rezultati[[#This Row],[Max]]+Rezultati[[#This Row],[Bonus]]</f>
        <v>87</v>
      </c>
      <c r="P228" cm="1">
        <f t="array" ref="P228">_xlfn.XLOOKUP(Rezultati[[#This Row],[Skupaj]],_xlfn.XLOOKUP(Rezultati[[#This Row],[Program]],Kriterij[[#Headers],[APF]:[PED]],Kriterij[[APF]:[PED]]), Kriterij[Ocena], "", -1, 2)</f>
        <v>9</v>
      </c>
    </row>
    <row r="229" spans="2:16" x14ac:dyDescent="0.2">
      <c r="B229">
        <v>27000227</v>
      </c>
      <c r="C229" t="s">
        <v>12</v>
      </c>
      <c r="D229">
        <f>_xlfn.IFNA(_xlfn.XLOOKUP(Rezultati[[#This Row],[Vpisna]], DomaceNaloge[Vpisna],DomaceNaloge[Skupaj]), 0)</f>
        <v>8</v>
      </c>
      <c r="E229">
        <f>_xlfn.IFNA(_xlfn.XLOOKUP(Rezultati[[#This Row],[Vpisna]], Izpit1[Vpisna],Izpit1[Skupaj]), "")</f>
        <v>62</v>
      </c>
      <c r="F229" t="str">
        <f>_xlfn.IFNA(_xlfn.XLOOKUP(Rezultati[[#This Row],[Vpisna]], Izpit1[Vpisna],Izpit1[Računalnik]), "")</f>
        <v>šolski</v>
      </c>
      <c r="G229" s="12" t="b">
        <v>1</v>
      </c>
      <c r="H229" t="str">
        <f>_xlfn.IFNA(_xlfn.XLOOKUP(Rezultati[[#This Row],[Vpisna]], Izpit2[Vpisna],Izpit2[Skupaj]), "")</f>
        <v/>
      </c>
      <c r="I229" t="str">
        <f>_xlfn.IFNA(_xlfn.XLOOKUP(Rezultati[[#This Row],[Vpisna]], Izpit2[Vpisna],Izpit2[Računalnik]), "")</f>
        <v/>
      </c>
      <c r="J229" s="12" t="b">
        <v>0</v>
      </c>
      <c r="K229" t="str">
        <f>_xlfn.IFNA(_xlfn.XLOOKUP(Rezultati[[#This Row],[Vpisna]], Izpit3[Vpisna],Izpit3[Skupaj]), "")</f>
        <v/>
      </c>
      <c r="L229" s="12" t="b">
        <v>0</v>
      </c>
      <c r="M229">
        <f>MAX(Rezultati[[#This Row],[1.izpit]],Rezultati[[#This Row],[2.izpit]],Rezultati[[#This Row],[3.izpit]])</f>
        <v>62</v>
      </c>
      <c r="N229"/>
      <c r="O229">
        <f>Rezultati[[#This Row],[DN]]+Rezultati[[#This Row],[Max]]+Rezultati[[#This Row],[Bonus]]</f>
        <v>70</v>
      </c>
      <c r="P229" cm="1">
        <f t="array" ref="P229">_xlfn.XLOOKUP(Rezultati[[#This Row],[Skupaj]],_xlfn.XLOOKUP(Rezultati[[#This Row],[Program]],Kriterij[[#Headers],[APF]:[PED]],Kriterij[[APF]:[PED]]), Kriterij[Ocena], "", -1, 2)</f>
        <v>8</v>
      </c>
    </row>
    <row r="230" spans="2:16" x14ac:dyDescent="0.2">
      <c r="B230">
        <v>27000228</v>
      </c>
      <c r="C230" t="s">
        <v>12</v>
      </c>
      <c r="D230">
        <f>_xlfn.IFNA(_xlfn.XLOOKUP(Rezultati[[#This Row],[Vpisna]], DomaceNaloge[Vpisna],DomaceNaloge[Skupaj]), 0)</f>
        <v>0</v>
      </c>
      <c r="E230" t="str">
        <f>_xlfn.IFNA(_xlfn.XLOOKUP(Rezultati[[#This Row],[Vpisna]], Izpit1[Vpisna],Izpit1[Skupaj]), "")</f>
        <v/>
      </c>
      <c r="F230" t="str">
        <f>_xlfn.IFNA(_xlfn.XLOOKUP(Rezultati[[#This Row],[Vpisna]], Izpit1[Vpisna],Izpit1[Računalnik]), "")</f>
        <v/>
      </c>
      <c r="G230" s="12" t="b">
        <v>0</v>
      </c>
      <c r="H230" t="str">
        <f>_xlfn.IFNA(_xlfn.XLOOKUP(Rezultati[[#This Row],[Vpisna]], Izpit2[Vpisna],Izpit2[Skupaj]), "")</f>
        <v/>
      </c>
      <c r="I230" t="str">
        <f>_xlfn.IFNA(_xlfn.XLOOKUP(Rezultati[[#This Row],[Vpisna]], Izpit2[Vpisna],Izpit2[Računalnik]), "")</f>
        <v/>
      </c>
      <c r="J230" s="12" t="b">
        <v>0</v>
      </c>
      <c r="K230" t="str">
        <f>_xlfn.IFNA(_xlfn.XLOOKUP(Rezultati[[#This Row],[Vpisna]], Izpit3[Vpisna],Izpit3[Skupaj]), "")</f>
        <v/>
      </c>
      <c r="L230" s="12" t="b">
        <v>0</v>
      </c>
      <c r="M230">
        <f>MAX(Rezultati[[#This Row],[1.izpit]],Rezultati[[#This Row],[2.izpit]],Rezultati[[#This Row],[3.izpit]])</f>
        <v>0</v>
      </c>
      <c r="N230"/>
      <c r="O230">
        <f>Rezultati[[#This Row],[DN]]+Rezultati[[#This Row],[Max]]+Rezultati[[#This Row],[Bonus]]</f>
        <v>0</v>
      </c>
      <c r="P230" t="str" cm="1">
        <f t="array" ref="P230">_xlfn.XLOOKUP(Rezultati[[#This Row],[Skupaj]],_xlfn.XLOOKUP(Rezultati[[#This Row],[Program]],Kriterij[[#Headers],[APF]:[PED]],Kriterij[[APF]:[PED]]), Kriterij[Ocena], "", -1, 2)</f>
        <v/>
      </c>
    </row>
    <row r="231" spans="2:16" x14ac:dyDescent="0.2">
      <c r="B231">
        <v>27000229</v>
      </c>
      <c r="C231" t="s">
        <v>12</v>
      </c>
      <c r="D231">
        <f>_xlfn.IFNA(_xlfn.XLOOKUP(Rezultati[[#This Row],[Vpisna]], DomaceNaloge[Vpisna],DomaceNaloge[Skupaj]), 0)</f>
        <v>0</v>
      </c>
      <c r="E231" t="str">
        <f>_xlfn.IFNA(_xlfn.XLOOKUP(Rezultati[[#This Row],[Vpisna]], Izpit1[Vpisna],Izpit1[Skupaj]), "")</f>
        <v/>
      </c>
      <c r="F231" t="str">
        <f>_xlfn.IFNA(_xlfn.XLOOKUP(Rezultati[[#This Row],[Vpisna]], Izpit1[Vpisna],Izpit1[Računalnik]), "")</f>
        <v/>
      </c>
      <c r="G231" s="12" t="b">
        <v>0</v>
      </c>
      <c r="H231" t="str">
        <f>_xlfn.IFNA(_xlfn.XLOOKUP(Rezultati[[#This Row],[Vpisna]], Izpit2[Vpisna],Izpit2[Skupaj]), "")</f>
        <v/>
      </c>
      <c r="I231" t="str">
        <f>_xlfn.IFNA(_xlfn.XLOOKUP(Rezultati[[#This Row],[Vpisna]], Izpit2[Vpisna],Izpit2[Računalnik]), "")</f>
        <v/>
      </c>
      <c r="J231" s="12" t="b">
        <v>0</v>
      </c>
      <c r="K231" t="str">
        <f>_xlfn.IFNA(_xlfn.XLOOKUP(Rezultati[[#This Row],[Vpisna]], Izpit3[Vpisna],Izpit3[Skupaj]), "")</f>
        <v/>
      </c>
      <c r="L231" s="12" t="b">
        <v>0</v>
      </c>
      <c r="M231">
        <f>MAX(Rezultati[[#This Row],[1.izpit]],Rezultati[[#This Row],[2.izpit]],Rezultati[[#This Row],[3.izpit]])</f>
        <v>0</v>
      </c>
      <c r="N231"/>
      <c r="O231">
        <f>Rezultati[[#This Row],[DN]]+Rezultati[[#This Row],[Max]]+Rezultati[[#This Row],[Bonus]]</f>
        <v>0</v>
      </c>
      <c r="P231" t="str" cm="1">
        <f t="array" ref="P231">_xlfn.XLOOKUP(Rezultati[[#This Row],[Skupaj]],_xlfn.XLOOKUP(Rezultati[[#This Row],[Program]],Kriterij[[#Headers],[APF]:[PED]],Kriterij[[APF]:[PED]]), Kriterij[Ocena], "", -1, 2)</f>
        <v/>
      </c>
    </row>
    <row r="232" spans="2:16" x14ac:dyDescent="0.2">
      <c r="B232">
        <v>27000230</v>
      </c>
      <c r="C232" t="s">
        <v>12</v>
      </c>
      <c r="D232">
        <f>_xlfn.IFNA(_xlfn.XLOOKUP(Rezultati[[#This Row],[Vpisna]], DomaceNaloge[Vpisna],DomaceNaloge[Skupaj]), 0)</f>
        <v>9</v>
      </c>
      <c r="E232">
        <f>_xlfn.IFNA(_xlfn.XLOOKUP(Rezultati[[#This Row],[Vpisna]], Izpit1[Vpisna],Izpit1[Skupaj]), "")</f>
        <v>92</v>
      </c>
      <c r="F232" t="str">
        <f>_xlfn.IFNA(_xlfn.XLOOKUP(Rezultati[[#This Row],[Vpisna]], Izpit1[Vpisna],Izpit1[Računalnik]), "")</f>
        <v>šolski</v>
      </c>
      <c r="G232" s="12" t="b">
        <v>1</v>
      </c>
      <c r="H232" t="str">
        <f>_xlfn.IFNA(_xlfn.XLOOKUP(Rezultati[[#This Row],[Vpisna]], Izpit2[Vpisna],Izpit2[Skupaj]), "")</f>
        <v/>
      </c>
      <c r="I232" t="str">
        <f>_xlfn.IFNA(_xlfn.XLOOKUP(Rezultati[[#This Row],[Vpisna]], Izpit2[Vpisna],Izpit2[Računalnik]), "")</f>
        <v/>
      </c>
      <c r="J232" s="12" t="b">
        <v>0</v>
      </c>
      <c r="K232" t="str">
        <f>_xlfn.IFNA(_xlfn.XLOOKUP(Rezultati[[#This Row],[Vpisna]], Izpit3[Vpisna],Izpit3[Skupaj]), "")</f>
        <v/>
      </c>
      <c r="L232" s="12" t="b">
        <v>0</v>
      </c>
      <c r="M232">
        <f>MAX(Rezultati[[#This Row],[1.izpit]],Rezultati[[#This Row],[2.izpit]],Rezultati[[#This Row],[3.izpit]])</f>
        <v>92</v>
      </c>
      <c r="N232"/>
      <c r="O232">
        <f>Rezultati[[#This Row],[DN]]+Rezultati[[#This Row],[Max]]+Rezultati[[#This Row],[Bonus]]</f>
        <v>101</v>
      </c>
      <c r="P232" cm="1">
        <f t="array" ref="P232">_xlfn.XLOOKUP(Rezultati[[#This Row],[Skupaj]],_xlfn.XLOOKUP(Rezultati[[#This Row],[Program]],Kriterij[[#Headers],[APF]:[PED]],Kriterij[[APF]:[PED]]), Kriterij[Ocena], "", -1, 2)</f>
        <v>10</v>
      </c>
    </row>
    <row r="233" spans="2:16" x14ac:dyDescent="0.2">
      <c r="B233">
        <v>27000231</v>
      </c>
      <c r="C233" t="s">
        <v>12</v>
      </c>
      <c r="D233">
        <f>_xlfn.IFNA(_xlfn.XLOOKUP(Rezultati[[#This Row],[Vpisna]], DomaceNaloge[Vpisna],DomaceNaloge[Skupaj]), 0)</f>
        <v>8</v>
      </c>
      <c r="E233">
        <f>_xlfn.IFNA(_xlfn.XLOOKUP(Rezultati[[#This Row],[Vpisna]], Izpit1[Vpisna],Izpit1[Skupaj]), "")</f>
        <v>98.5</v>
      </c>
      <c r="F233" t="str">
        <f>_xlfn.IFNA(_xlfn.XLOOKUP(Rezultati[[#This Row],[Vpisna]], Izpit1[Vpisna],Izpit1[Računalnik]), "")</f>
        <v>svoj</v>
      </c>
      <c r="G233" s="12" t="b">
        <v>1</v>
      </c>
      <c r="H233" t="str">
        <f>_xlfn.IFNA(_xlfn.XLOOKUP(Rezultati[[#This Row],[Vpisna]], Izpit2[Vpisna],Izpit2[Skupaj]), "")</f>
        <v/>
      </c>
      <c r="I233" t="str">
        <f>_xlfn.IFNA(_xlfn.XLOOKUP(Rezultati[[#This Row],[Vpisna]], Izpit2[Vpisna],Izpit2[Računalnik]), "")</f>
        <v/>
      </c>
      <c r="J233" s="12" t="b">
        <v>0</v>
      </c>
      <c r="K233" t="str">
        <f>_xlfn.IFNA(_xlfn.XLOOKUP(Rezultati[[#This Row],[Vpisna]], Izpit3[Vpisna],Izpit3[Skupaj]), "")</f>
        <v/>
      </c>
      <c r="L233" s="12" t="b">
        <v>0</v>
      </c>
      <c r="M233">
        <f>MAX(Rezultati[[#This Row],[1.izpit]],Rezultati[[#This Row],[2.izpit]],Rezultati[[#This Row],[3.izpit]])</f>
        <v>98.5</v>
      </c>
      <c r="N233"/>
      <c r="O233">
        <f>Rezultati[[#This Row],[DN]]+Rezultati[[#This Row],[Max]]+Rezultati[[#This Row],[Bonus]]</f>
        <v>106.5</v>
      </c>
      <c r="P233" cm="1">
        <f t="array" ref="P233">_xlfn.XLOOKUP(Rezultati[[#This Row],[Skupaj]],_xlfn.XLOOKUP(Rezultati[[#This Row],[Program]],Kriterij[[#Headers],[APF]:[PED]],Kriterij[[APF]:[PED]]), Kriterij[Ocena], "", -1, 2)</f>
        <v>10</v>
      </c>
    </row>
    <row r="234" spans="2:16" x14ac:dyDescent="0.2">
      <c r="B234">
        <v>27000232</v>
      </c>
      <c r="C234" t="s">
        <v>12</v>
      </c>
      <c r="D234">
        <f>_xlfn.IFNA(_xlfn.XLOOKUP(Rezultati[[#This Row],[Vpisna]], DomaceNaloge[Vpisna],DomaceNaloge[Skupaj]), 0)</f>
        <v>7</v>
      </c>
      <c r="E234">
        <f>_xlfn.IFNA(_xlfn.XLOOKUP(Rezultati[[#This Row],[Vpisna]], Izpit1[Vpisna],Izpit1[Skupaj]), "")</f>
        <v>0</v>
      </c>
      <c r="F234" t="str">
        <f>_xlfn.IFNA(_xlfn.XLOOKUP(Rezultati[[#This Row],[Vpisna]], Izpit1[Vpisna],Izpit1[Računalnik]), "")</f>
        <v>svoj</v>
      </c>
      <c r="G234" s="12" t="b">
        <v>1</v>
      </c>
      <c r="H234" t="str">
        <f>_xlfn.IFNA(_xlfn.XLOOKUP(Rezultati[[#This Row],[Vpisna]], Izpit2[Vpisna],Izpit2[Skupaj]), "")</f>
        <v/>
      </c>
      <c r="I234" t="str">
        <f>_xlfn.IFNA(_xlfn.XLOOKUP(Rezultati[[#This Row],[Vpisna]], Izpit2[Vpisna],Izpit2[Računalnik]), "")</f>
        <v/>
      </c>
      <c r="J234" s="12" t="b">
        <v>0</v>
      </c>
      <c r="K234" t="str">
        <f>_xlfn.IFNA(_xlfn.XLOOKUP(Rezultati[[#This Row],[Vpisna]], Izpit3[Vpisna],Izpit3[Skupaj]), "")</f>
        <v/>
      </c>
      <c r="L234" s="12" t="b">
        <v>0</v>
      </c>
      <c r="M234">
        <f>MAX(Rezultati[[#This Row],[1.izpit]],Rezultati[[#This Row],[2.izpit]],Rezultati[[#This Row],[3.izpit]])</f>
        <v>0</v>
      </c>
      <c r="N234"/>
      <c r="O234">
        <f>Rezultati[[#This Row],[DN]]+Rezultati[[#This Row],[Max]]+Rezultati[[#This Row],[Bonus]]</f>
        <v>7</v>
      </c>
      <c r="P234" cm="1">
        <f t="array" ref="P234">_xlfn.XLOOKUP(Rezultati[[#This Row],[Skupaj]],_xlfn.XLOOKUP(Rezultati[[#This Row],[Program]],Kriterij[[#Headers],[APF]:[PED]],Kriterij[[APF]:[PED]]), Kriterij[Ocena], "", -1, 2)</f>
        <v>5</v>
      </c>
    </row>
    <row r="235" spans="2:16" x14ac:dyDescent="0.2">
      <c r="B235">
        <v>27000233</v>
      </c>
      <c r="C235" t="s">
        <v>12</v>
      </c>
      <c r="D235">
        <f>_xlfn.IFNA(_xlfn.XLOOKUP(Rezultati[[#This Row],[Vpisna]], DomaceNaloge[Vpisna],DomaceNaloge[Skupaj]), 0)</f>
        <v>0</v>
      </c>
      <c r="E235" t="str">
        <f>_xlfn.IFNA(_xlfn.XLOOKUP(Rezultati[[#This Row],[Vpisna]], Izpit1[Vpisna],Izpit1[Skupaj]), "")</f>
        <v/>
      </c>
      <c r="F235" t="str">
        <f>_xlfn.IFNA(_xlfn.XLOOKUP(Rezultati[[#This Row],[Vpisna]], Izpit1[Vpisna],Izpit1[Računalnik]), "")</f>
        <v/>
      </c>
      <c r="G235" s="12" t="b">
        <v>0</v>
      </c>
      <c r="H235" t="str">
        <f>_xlfn.IFNA(_xlfn.XLOOKUP(Rezultati[[#This Row],[Vpisna]], Izpit2[Vpisna],Izpit2[Skupaj]), "")</f>
        <v/>
      </c>
      <c r="I235" t="str">
        <f>_xlfn.IFNA(_xlfn.XLOOKUP(Rezultati[[#This Row],[Vpisna]], Izpit2[Vpisna],Izpit2[Računalnik]), "")</f>
        <v/>
      </c>
      <c r="J235" s="12" t="b">
        <v>0</v>
      </c>
      <c r="K235" t="str">
        <f>_xlfn.IFNA(_xlfn.XLOOKUP(Rezultati[[#This Row],[Vpisna]], Izpit3[Vpisna],Izpit3[Skupaj]), "")</f>
        <v/>
      </c>
      <c r="L235" s="12" t="b">
        <v>0</v>
      </c>
      <c r="M235">
        <f>MAX(Rezultati[[#This Row],[1.izpit]],Rezultati[[#This Row],[2.izpit]],Rezultati[[#This Row],[3.izpit]])</f>
        <v>0</v>
      </c>
      <c r="N235"/>
      <c r="O235">
        <f>Rezultati[[#This Row],[DN]]+Rezultati[[#This Row],[Max]]+Rezultati[[#This Row],[Bonus]]</f>
        <v>0</v>
      </c>
      <c r="P235" t="str" cm="1">
        <f t="array" ref="P235">_xlfn.XLOOKUP(Rezultati[[#This Row],[Skupaj]],_xlfn.XLOOKUP(Rezultati[[#This Row],[Program]],Kriterij[[#Headers],[APF]:[PED]],Kriterij[[APF]:[PED]]), Kriterij[Ocena], "", -1, 2)</f>
        <v/>
      </c>
    </row>
    <row r="236" spans="2:16" x14ac:dyDescent="0.2">
      <c r="B236">
        <v>27000234</v>
      </c>
      <c r="C236" t="s">
        <v>12</v>
      </c>
      <c r="D236">
        <f>_xlfn.IFNA(_xlfn.XLOOKUP(Rezultati[[#This Row],[Vpisna]], DomaceNaloge[Vpisna],DomaceNaloge[Skupaj]), 0)</f>
        <v>10</v>
      </c>
      <c r="E236">
        <f>_xlfn.IFNA(_xlfn.XLOOKUP(Rezultati[[#This Row],[Vpisna]], Izpit1[Vpisna],Izpit1[Skupaj]), "")</f>
        <v>99</v>
      </c>
      <c r="F236" t="str">
        <f>_xlfn.IFNA(_xlfn.XLOOKUP(Rezultati[[#This Row],[Vpisna]], Izpit1[Vpisna],Izpit1[Računalnik]), "")</f>
        <v>šolski</v>
      </c>
      <c r="G236" s="12" t="b">
        <v>1</v>
      </c>
      <c r="H236" t="str">
        <f>_xlfn.IFNA(_xlfn.XLOOKUP(Rezultati[[#This Row],[Vpisna]], Izpit2[Vpisna],Izpit2[Skupaj]), "")</f>
        <v/>
      </c>
      <c r="I236" t="str">
        <f>_xlfn.IFNA(_xlfn.XLOOKUP(Rezultati[[#This Row],[Vpisna]], Izpit2[Vpisna],Izpit2[Računalnik]), "")</f>
        <v/>
      </c>
      <c r="J236" s="12" t="b">
        <v>0</v>
      </c>
      <c r="K236" t="str">
        <f>_xlfn.IFNA(_xlfn.XLOOKUP(Rezultati[[#This Row],[Vpisna]], Izpit3[Vpisna],Izpit3[Skupaj]), "")</f>
        <v/>
      </c>
      <c r="L236" s="12" t="b">
        <v>0</v>
      </c>
      <c r="M236">
        <f>MAX(Rezultati[[#This Row],[1.izpit]],Rezultati[[#This Row],[2.izpit]],Rezultati[[#This Row],[3.izpit]])</f>
        <v>99</v>
      </c>
      <c r="N236"/>
      <c r="O236">
        <f>Rezultati[[#This Row],[DN]]+Rezultati[[#This Row],[Max]]+Rezultati[[#This Row],[Bonus]]</f>
        <v>109</v>
      </c>
      <c r="P236" cm="1">
        <f t="array" ref="P236">_xlfn.XLOOKUP(Rezultati[[#This Row],[Skupaj]],_xlfn.XLOOKUP(Rezultati[[#This Row],[Program]],Kriterij[[#Headers],[APF]:[PED]],Kriterij[[APF]:[PED]]), Kriterij[Ocena], "", -1, 2)</f>
        <v>10</v>
      </c>
    </row>
    <row r="237" spans="2:16" x14ac:dyDescent="0.2">
      <c r="B237">
        <v>27000235</v>
      </c>
      <c r="C237" t="s">
        <v>12</v>
      </c>
      <c r="D237">
        <f>_xlfn.IFNA(_xlfn.XLOOKUP(Rezultati[[#This Row],[Vpisna]], DomaceNaloge[Vpisna],DomaceNaloge[Skupaj]), 0)</f>
        <v>0</v>
      </c>
      <c r="E237" t="str">
        <f>_xlfn.IFNA(_xlfn.XLOOKUP(Rezultati[[#This Row],[Vpisna]], Izpit1[Vpisna],Izpit1[Skupaj]), "")</f>
        <v/>
      </c>
      <c r="F237" t="str">
        <f>_xlfn.IFNA(_xlfn.XLOOKUP(Rezultati[[#This Row],[Vpisna]], Izpit1[Vpisna],Izpit1[Računalnik]), "")</f>
        <v/>
      </c>
      <c r="G237" s="12" t="b">
        <v>0</v>
      </c>
      <c r="H237" t="str">
        <f>_xlfn.IFNA(_xlfn.XLOOKUP(Rezultati[[#This Row],[Vpisna]], Izpit2[Vpisna],Izpit2[Skupaj]), "")</f>
        <v/>
      </c>
      <c r="I237" t="str">
        <f>_xlfn.IFNA(_xlfn.XLOOKUP(Rezultati[[#This Row],[Vpisna]], Izpit2[Vpisna],Izpit2[Računalnik]), "")</f>
        <v/>
      </c>
      <c r="J237" s="12" t="b">
        <v>0</v>
      </c>
      <c r="K237" t="str">
        <f>_xlfn.IFNA(_xlfn.XLOOKUP(Rezultati[[#This Row],[Vpisna]], Izpit3[Vpisna],Izpit3[Skupaj]), "")</f>
        <v/>
      </c>
      <c r="L237" s="12" t="b">
        <v>0</v>
      </c>
      <c r="M237">
        <f>MAX(Rezultati[[#This Row],[1.izpit]],Rezultati[[#This Row],[2.izpit]],Rezultati[[#This Row],[3.izpit]])</f>
        <v>0</v>
      </c>
      <c r="N237"/>
      <c r="O237">
        <f>Rezultati[[#This Row],[DN]]+Rezultati[[#This Row],[Max]]+Rezultati[[#This Row],[Bonus]]</f>
        <v>0</v>
      </c>
      <c r="P237" t="str" cm="1">
        <f t="array" ref="P237">_xlfn.XLOOKUP(Rezultati[[#This Row],[Skupaj]],_xlfn.XLOOKUP(Rezultati[[#This Row],[Program]],Kriterij[[#Headers],[APF]:[PED]],Kriterij[[APF]:[PED]]), Kriterij[Ocena], "", -1, 2)</f>
        <v/>
      </c>
    </row>
    <row r="238" spans="2:16" x14ac:dyDescent="0.2">
      <c r="B238">
        <v>27000236</v>
      </c>
      <c r="C238" t="s">
        <v>12</v>
      </c>
      <c r="D238">
        <f>_xlfn.IFNA(_xlfn.XLOOKUP(Rezultati[[#This Row],[Vpisna]], DomaceNaloge[Vpisna],DomaceNaloge[Skupaj]), 0)</f>
        <v>10</v>
      </c>
      <c r="E238">
        <f>_xlfn.IFNA(_xlfn.XLOOKUP(Rezultati[[#This Row],[Vpisna]], Izpit1[Vpisna],Izpit1[Skupaj]), "")</f>
        <v>86.5</v>
      </c>
      <c r="F238" t="str">
        <f>_xlfn.IFNA(_xlfn.XLOOKUP(Rezultati[[#This Row],[Vpisna]], Izpit1[Vpisna],Izpit1[Računalnik]), "")</f>
        <v>svoj</v>
      </c>
      <c r="G238" s="12" t="b">
        <v>1</v>
      </c>
      <c r="H238" t="str">
        <f>_xlfn.IFNA(_xlfn.XLOOKUP(Rezultati[[#This Row],[Vpisna]], Izpit2[Vpisna],Izpit2[Skupaj]), "")</f>
        <v/>
      </c>
      <c r="I238" t="str">
        <f>_xlfn.IFNA(_xlfn.XLOOKUP(Rezultati[[#This Row],[Vpisna]], Izpit2[Vpisna],Izpit2[Računalnik]), "")</f>
        <v/>
      </c>
      <c r="J238" s="12" t="b">
        <v>0</v>
      </c>
      <c r="K238" t="str">
        <f>_xlfn.IFNA(_xlfn.XLOOKUP(Rezultati[[#This Row],[Vpisna]], Izpit3[Vpisna],Izpit3[Skupaj]), "")</f>
        <v/>
      </c>
      <c r="L238" s="12" t="b">
        <v>0</v>
      </c>
      <c r="M238">
        <f>MAX(Rezultati[[#This Row],[1.izpit]],Rezultati[[#This Row],[2.izpit]],Rezultati[[#This Row],[3.izpit]])</f>
        <v>86.5</v>
      </c>
      <c r="N238"/>
      <c r="O238">
        <f>Rezultati[[#This Row],[DN]]+Rezultati[[#This Row],[Max]]+Rezultati[[#This Row],[Bonus]]</f>
        <v>96.5</v>
      </c>
      <c r="P238" cm="1">
        <f t="array" ref="P238">_xlfn.XLOOKUP(Rezultati[[#This Row],[Skupaj]],_xlfn.XLOOKUP(Rezultati[[#This Row],[Program]],Kriterij[[#Headers],[APF]:[PED]],Kriterij[[APF]:[PED]]), Kriterij[Ocena], "", -1, 2)</f>
        <v>10</v>
      </c>
    </row>
    <row r="239" spans="2:16" x14ac:dyDescent="0.2">
      <c r="B239">
        <v>27000237</v>
      </c>
      <c r="C239" t="s">
        <v>12</v>
      </c>
      <c r="D239">
        <f>_xlfn.IFNA(_xlfn.XLOOKUP(Rezultati[[#This Row],[Vpisna]], DomaceNaloge[Vpisna],DomaceNaloge[Skupaj]), 0)</f>
        <v>8</v>
      </c>
      <c r="E239">
        <f>_xlfn.IFNA(_xlfn.XLOOKUP(Rezultati[[#This Row],[Vpisna]], Izpit1[Vpisna],Izpit1[Skupaj]), "")</f>
        <v>80</v>
      </c>
      <c r="F239" t="str">
        <f>_xlfn.IFNA(_xlfn.XLOOKUP(Rezultati[[#This Row],[Vpisna]], Izpit1[Vpisna],Izpit1[Računalnik]), "")</f>
        <v>šolski</v>
      </c>
      <c r="G239" s="12" t="b">
        <v>1</v>
      </c>
      <c r="H239" t="str">
        <f>_xlfn.IFNA(_xlfn.XLOOKUP(Rezultati[[#This Row],[Vpisna]], Izpit2[Vpisna],Izpit2[Skupaj]), "")</f>
        <v/>
      </c>
      <c r="I239" t="str">
        <f>_xlfn.IFNA(_xlfn.XLOOKUP(Rezultati[[#This Row],[Vpisna]], Izpit2[Vpisna],Izpit2[Računalnik]), "")</f>
        <v/>
      </c>
      <c r="J239" s="12" t="b">
        <v>0</v>
      </c>
      <c r="K239" t="str">
        <f>_xlfn.IFNA(_xlfn.XLOOKUP(Rezultati[[#This Row],[Vpisna]], Izpit3[Vpisna],Izpit3[Skupaj]), "")</f>
        <v/>
      </c>
      <c r="L239" s="12" t="b">
        <v>0</v>
      </c>
      <c r="M239">
        <f>MAX(Rezultati[[#This Row],[1.izpit]],Rezultati[[#This Row],[2.izpit]],Rezultati[[#This Row],[3.izpit]])</f>
        <v>80</v>
      </c>
      <c r="N239"/>
      <c r="O239">
        <f>Rezultati[[#This Row],[DN]]+Rezultati[[#This Row],[Max]]+Rezultati[[#This Row],[Bonus]]</f>
        <v>88</v>
      </c>
      <c r="P239" cm="1">
        <f t="array" ref="P239">_xlfn.XLOOKUP(Rezultati[[#This Row],[Skupaj]],_xlfn.XLOOKUP(Rezultati[[#This Row],[Program]],Kriterij[[#Headers],[APF]:[PED]],Kriterij[[APF]:[PED]]), Kriterij[Ocena], "", -1, 2)</f>
        <v>9</v>
      </c>
    </row>
    <row r="240" spans="2:16" x14ac:dyDescent="0.2">
      <c r="B240">
        <v>27000238</v>
      </c>
      <c r="C240" t="s">
        <v>12</v>
      </c>
      <c r="D240">
        <f>_xlfn.IFNA(_xlfn.XLOOKUP(Rezultati[[#This Row],[Vpisna]], DomaceNaloge[Vpisna],DomaceNaloge[Skupaj]), 0)</f>
        <v>6</v>
      </c>
      <c r="E240">
        <f>_xlfn.IFNA(_xlfn.XLOOKUP(Rezultati[[#This Row],[Vpisna]], Izpit1[Vpisna],Izpit1[Skupaj]), "")</f>
        <v>38.5</v>
      </c>
      <c r="F240" t="str">
        <f>_xlfn.IFNA(_xlfn.XLOOKUP(Rezultati[[#This Row],[Vpisna]], Izpit1[Vpisna],Izpit1[Računalnik]), "")</f>
        <v>svoj</v>
      </c>
      <c r="G240" s="12" t="b">
        <v>1</v>
      </c>
      <c r="H240" t="str">
        <f>_xlfn.IFNA(_xlfn.XLOOKUP(Rezultati[[#This Row],[Vpisna]], Izpit2[Vpisna],Izpit2[Skupaj]), "")</f>
        <v/>
      </c>
      <c r="I240" t="str">
        <f>_xlfn.IFNA(_xlfn.XLOOKUP(Rezultati[[#This Row],[Vpisna]], Izpit2[Vpisna],Izpit2[Računalnik]), "")</f>
        <v/>
      </c>
      <c r="J240" s="12" t="b">
        <v>0</v>
      </c>
      <c r="K240" t="str">
        <f>_xlfn.IFNA(_xlfn.XLOOKUP(Rezultati[[#This Row],[Vpisna]], Izpit3[Vpisna],Izpit3[Skupaj]), "")</f>
        <v/>
      </c>
      <c r="L240" s="12" t="b">
        <v>0</v>
      </c>
      <c r="M240">
        <f>MAX(Rezultati[[#This Row],[1.izpit]],Rezultati[[#This Row],[2.izpit]],Rezultati[[#This Row],[3.izpit]])</f>
        <v>38.5</v>
      </c>
      <c r="N240"/>
      <c r="O240">
        <f>Rezultati[[#This Row],[DN]]+Rezultati[[#This Row],[Max]]+Rezultati[[#This Row],[Bonus]]</f>
        <v>44.5</v>
      </c>
      <c r="P240" cm="1">
        <f t="array" ref="P240">_xlfn.XLOOKUP(Rezultati[[#This Row],[Skupaj]],_xlfn.XLOOKUP(Rezultati[[#This Row],[Program]],Kriterij[[#Headers],[APF]:[PED]],Kriterij[[APF]:[PED]]), Kriterij[Ocena], "", -1, 2)</f>
        <v>5</v>
      </c>
    </row>
    <row r="241" spans="2:16" x14ac:dyDescent="0.2">
      <c r="B241">
        <v>27000239</v>
      </c>
      <c r="C241" t="s">
        <v>12</v>
      </c>
      <c r="D241">
        <f>_xlfn.IFNA(_xlfn.XLOOKUP(Rezultati[[#This Row],[Vpisna]], DomaceNaloge[Vpisna],DomaceNaloge[Skupaj]), 0)</f>
        <v>8</v>
      </c>
      <c r="E241">
        <f>_xlfn.IFNA(_xlfn.XLOOKUP(Rezultati[[#This Row],[Vpisna]], Izpit1[Vpisna],Izpit1[Skupaj]), "")</f>
        <v>95.5</v>
      </c>
      <c r="F241" t="str">
        <f>_xlfn.IFNA(_xlfn.XLOOKUP(Rezultati[[#This Row],[Vpisna]], Izpit1[Vpisna],Izpit1[Računalnik]), "")</f>
        <v>šolski</v>
      </c>
      <c r="G241" s="12" t="b">
        <v>1</v>
      </c>
      <c r="H241" t="str">
        <f>_xlfn.IFNA(_xlfn.XLOOKUP(Rezultati[[#This Row],[Vpisna]], Izpit2[Vpisna],Izpit2[Skupaj]), "")</f>
        <v/>
      </c>
      <c r="I241" t="str">
        <f>_xlfn.IFNA(_xlfn.XLOOKUP(Rezultati[[#This Row],[Vpisna]], Izpit2[Vpisna],Izpit2[Računalnik]), "")</f>
        <v/>
      </c>
      <c r="J241" s="12" t="b">
        <v>0</v>
      </c>
      <c r="K241" t="str">
        <f>_xlfn.IFNA(_xlfn.XLOOKUP(Rezultati[[#This Row],[Vpisna]], Izpit3[Vpisna],Izpit3[Skupaj]), "")</f>
        <v/>
      </c>
      <c r="L241" s="12" t="b">
        <v>0</v>
      </c>
      <c r="M241">
        <f>MAX(Rezultati[[#This Row],[1.izpit]],Rezultati[[#This Row],[2.izpit]],Rezultati[[#This Row],[3.izpit]])</f>
        <v>95.5</v>
      </c>
      <c r="N241"/>
      <c r="O241">
        <f>Rezultati[[#This Row],[DN]]+Rezultati[[#This Row],[Max]]+Rezultati[[#This Row],[Bonus]]</f>
        <v>103.5</v>
      </c>
      <c r="P241" cm="1">
        <f t="array" ref="P241">_xlfn.XLOOKUP(Rezultati[[#This Row],[Skupaj]],_xlfn.XLOOKUP(Rezultati[[#This Row],[Program]],Kriterij[[#Headers],[APF]:[PED]],Kriterij[[APF]:[PED]]), Kriterij[Ocena], "", -1, 2)</f>
        <v>10</v>
      </c>
    </row>
    <row r="242" spans="2:16" x14ac:dyDescent="0.2">
      <c r="B242">
        <v>27000240</v>
      </c>
      <c r="C242" t="s">
        <v>12</v>
      </c>
      <c r="D242">
        <f>_xlfn.IFNA(_xlfn.XLOOKUP(Rezultati[[#This Row],[Vpisna]], DomaceNaloge[Vpisna],DomaceNaloge[Skupaj]), 0)</f>
        <v>7</v>
      </c>
      <c r="E242">
        <f>_xlfn.IFNA(_xlfn.XLOOKUP(Rezultati[[#This Row],[Vpisna]], Izpit1[Vpisna],Izpit1[Skupaj]), "")</f>
        <v>98</v>
      </c>
      <c r="F242" t="str">
        <f>_xlfn.IFNA(_xlfn.XLOOKUP(Rezultati[[#This Row],[Vpisna]], Izpit1[Vpisna],Izpit1[Računalnik]), "")</f>
        <v>svoj</v>
      </c>
      <c r="G242" s="12" t="b">
        <v>1</v>
      </c>
      <c r="H242" t="str">
        <f>_xlfn.IFNA(_xlfn.XLOOKUP(Rezultati[[#This Row],[Vpisna]], Izpit2[Vpisna],Izpit2[Skupaj]), "")</f>
        <v/>
      </c>
      <c r="I242" t="str">
        <f>_xlfn.IFNA(_xlfn.XLOOKUP(Rezultati[[#This Row],[Vpisna]], Izpit2[Vpisna],Izpit2[Računalnik]), "")</f>
        <v/>
      </c>
      <c r="J242" s="12" t="b">
        <v>0</v>
      </c>
      <c r="K242" t="str">
        <f>_xlfn.IFNA(_xlfn.XLOOKUP(Rezultati[[#This Row],[Vpisna]], Izpit3[Vpisna],Izpit3[Skupaj]), "")</f>
        <v/>
      </c>
      <c r="L242" s="12" t="b">
        <v>0</v>
      </c>
      <c r="M242">
        <f>MAX(Rezultati[[#This Row],[1.izpit]],Rezultati[[#This Row],[2.izpit]],Rezultati[[#This Row],[3.izpit]])</f>
        <v>98</v>
      </c>
      <c r="N242"/>
      <c r="O242">
        <f>Rezultati[[#This Row],[DN]]+Rezultati[[#This Row],[Max]]+Rezultati[[#This Row],[Bonus]]</f>
        <v>105</v>
      </c>
      <c r="P242" cm="1">
        <f t="array" ref="P242">_xlfn.XLOOKUP(Rezultati[[#This Row],[Skupaj]],_xlfn.XLOOKUP(Rezultati[[#This Row],[Program]],Kriterij[[#Headers],[APF]:[PED]],Kriterij[[APF]:[PED]]), Kriterij[Ocena], "", -1, 2)</f>
        <v>10</v>
      </c>
    </row>
    <row r="243" spans="2:16" x14ac:dyDescent="0.2">
      <c r="B243">
        <v>27000241</v>
      </c>
      <c r="C243" t="s">
        <v>12</v>
      </c>
      <c r="D243">
        <f>_xlfn.IFNA(_xlfn.XLOOKUP(Rezultati[[#This Row],[Vpisna]], DomaceNaloge[Vpisna],DomaceNaloge[Skupaj]), 0)</f>
        <v>0</v>
      </c>
      <c r="E243" t="str">
        <f>_xlfn.IFNA(_xlfn.XLOOKUP(Rezultati[[#This Row],[Vpisna]], Izpit1[Vpisna],Izpit1[Skupaj]), "")</f>
        <v/>
      </c>
      <c r="F243" t="str">
        <f>_xlfn.IFNA(_xlfn.XLOOKUP(Rezultati[[#This Row],[Vpisna]], Izpit1[Vpisna],Izpit1[Računalnik]), "")</f>
        <v/>
      </c>
      <c r="G243" s="12" t="b">
        <v>0</v>
      </c>
      <c r="H243" t="str">
        <f>_xlfn.IFNA(_xlfn.XLOOKUP(Rezultati[[#This Row],[Vpisna]], Izpit2[Vpisna],Izpit2[Skupaj]), "")</f>
        <v/>
      </c>
      <c r="I243" t="str">
        <f>_xlfn.IFNA(_xlfn.XLOOKUP(Rezultati[[#This Row],[Vpisna]], Izpit2[Vpisna],Izpit2[Računalnik]), "")</f>
        <v/>
      </c>
      <c r="J243" s="12" t="b">
        <v>0</v>
      </c>
      <c r="K243" t="str">
        <f>_xlfn.IFNA(_xlfn.XLOOKUP(Rezultati[[#This Row],[Vpisna]], Izpit3[Vpisna],Izpit3[Skupaj]), "")</f>
        <v/>
      </c>
      <c r="L243" s="12" t="b">
        <v>0</v>
      </c>
      <c r="M243">
        <f>MAX(Rezultati[[#This Row],[1.izpit]],Rezultati[[#This Row],[2.izpit]],Rezultati[[#This Row],[3.izpit]])</f>
        <v>0</v>
      </c>
      <c r="N243"/>
      <c r="O243">
        <f>Rezultati[[#This Row],[DN]]+Rezultati[[#This Row],[Max]]+Rezultati[[#This Row],[Bonus]]</f>
        <v>0</v>
      </c>
      <c r="P243" t="str" cm="1">
        <f t="array" ref="P243">_xlfn.XLOOKUP(Rezultati[[#This Row],[Skupaj]],_xlfn.XLOOKUP(Rezultati[[#This Row],[Program]],Kriterij[[#Headers],[APF]:[PED]],Kriterij[[APF]:[PED]]), Kriterij[Ocena], "", -1, 2)</f>
        <v/>
      </c>
    </row>
    <row r="244" spans="2:16" x14ac:dyDescent="0.2">
      <c r="B244">
        <v>27000242</v>
      </c>
      <c r="C244" t="s">
        <v>12</v>
      </c>
      <c r="D244">
        <f>_xlfn.IFNA(_xlfn.XLOOKUP(Rezultati[[#This Row],[Vpisna]], DomaceNaloge[Vpisna],DomaceNaloge[Skupaj]), 0)</f>
        <v>0</v>
      </c>
      <c r="E244" t="str">
        <f>_xlfn.IFNA(_xlfn.XLOOKUP(Rezultati[[#This Row],[Vpisna]], Izpit1[Vpisna],Izpit1[Skupaj]), "")</f>
        <v/>
      </c>
      <c r="F244" t="str">
        <f>_xlfn.IFNA(_xlfn.XLOOKUP(Rezultati[[#This Row],[Vpisna]], Izpit1[Vpisna],Izpit1[Računalnik]), "")</f>
        <v/>
      </c>
      <c r="G244" s="12" t="b">
        <v>0</v>
      </c>
      <c r="H244" t="str">
        <f>_xlfn.IFNA(_xlfn.XLOOKUP(Rezultati[[#This Row],[Vpisna]], Izpit2[Vpisna],Izpit2[Skupaj]), "")</f>
        <v/>
      </c>
      <c r="I244" t="str">
        <f>_xlfn.IFNA(_xlfn.XLOOKUP(Rezultati[[#This Row],[Vpisna]], Izpit2[Vpisna],Izpit2[Računalnik]), "")</f>
        <v/>
      </c>
      <c r="J244" s="12" t="b">
        <v>0</v>
      </c>
      <c r="K244" t="str">
        <f>_xlfn.IFNA(_xlfn.XLOOKUP(Rezultati[[#This Row],[Vpisna]], Izpit3[Vpisna],Izpit3[Skupaj]), "")</f>
        <v/>
      </c>
      <c r="L244" s="12" t="b">
        <v>0</v>
      </c>
      <c r="M244">
        <f>MAX(Rezultati[[#This Row],[1.izpit]],Rezultati[[#This Row],[2.izpit]],Rezultati[[#This Row],[3.izpit]])</f>
        <v>0</v>
      </c>
      <c r="N244"/>
      <c r="O244">
        <f>Rezultati[[#This Row],[DN]]+Rezultati[[#This Row],[Max]]+Rezultati[[#This Row],[Bonus]]</f>
        <v>0</v>
      </c>
      <c r="P244" t="str" cm="1">
        <f t="array" ref="P244">_xlfn.XLOOKUP(Rezultati[[#This Row],[Skupaj]],_xlfn.XLOOKUP(Rezultati[[#This Row],[Program]],Kriterij[[#Headers],[APF]:[PED]],Kriterij[[APF]:[PED]]), Kriterij[Ocena], "", -1, 2)</f>
        <v/>
      </c>
    </row>
    <row r="245" spans="2:16" x14ac:dyDescent="0.2">
      <c r="B245">
        <v>27000243</v>
      </c>
      <c r="C245" t="s">
        <v>12</v>
      </c>
      <c r="D245">
        <f>_xlfn.IFNA(_xlfn.XLOOKUP(Rezultati[[#This Row],[Vpisna]], DomaceNaloge[Vpisna],DomaceNaloge[Skupaj]), 0)</f>
        <v>0</v>
      </c>
      <c r="E245" t="str">
        <f>_xlfn.IFNA(_xlfn.XLOOKUP(Rezultati[[#This Row],[Vpisna]], Izpit1[Vpisna],Izpit1[Skupaj]), "")</f>
        <v/>
      </c>
      <c r="F245" t="str">
        <f>_xlfn.IFNA(_xlfn.XLOOKUP(Rezultati[[#This Row],[Vpisna]], Izpit1[Vpisna],Izpit1[Računalnik]), "")</f>
        <v/>
      </c>
      <c r="G245" s="12" t="b">
        <v>0</v>
      </c>
      <c r="H245" t="str">
        <f>_xlfn.IFNA(_xlfn.XLOOKUP(Rezultati[[#This Row],[Vpisna]], Izpit2[Vpisna],Izpit2[Skupaj]), "")</f>
        <v/>
      </c>
      <c r="I245" t="str">
        <f>_xlfn.IFNA(_xlfn.XLOOKUP(Rezultati[[#This Row],[Vpisna]], Izpit2[Vpisna],Izpit2[Računalnik]), "")</f>
        <v/>
      </c>
      <c r="J245" s="12" t="b">
        <v>0</v>
      </c>
      <c r="K245" t="str">
        <f>_xlfn.IFNA(_xlfn.XLOOKUP(Rezultati[[#This Row],[Vpisna]], Izpit3[Vpisna],Izpit3[Skupaj]), "")</f>
        <v/>
      </c>
      <c r="L245" s="12" t="b">
        <v>0</v>
      </c>
      <c r="M245">
        <f>MAX(Rezultati[[#This Row],[1.izpit]],Rezultati[[#This Row],[2.izpit]],Rezultati[[#This Row],[3.izpit]])</f>
        <v>0</v>
      </c>
      <c r="N245"/>
      <c r="O245">
        <f>Rezultati[[#This Row],[DN]]+Rezultati[[#This Row],[Max]]+Rezultati[[#This Row],[Bonus]]</f>
        <v>0</v>
      </c>
      <c r="P245" t="str" cm="1">
        <f t="array" ref="P245">_xlfn.XLOOKUP(Rezultati[[#This Row],[Skupaj]],_xlfn.XLOOKUP(Rezultati[[#This Row],[Program]],Kriterij[[#Headers],[APF]:[PED]],Kriterij[[APF]:[PED]]), Kriterij[Ocena], "", -1, 2)</f>
        <v/>
      </c>
    </row>
    <row r="246" spans="2:16" x14ac:dyDescent="0.2">
      <c r="B246">
        <v>27000244</v>
      </c>
      <c r="C246" t="s">
        <v>12</v>
      </c>
      <c r="D246">
        <f>_xlfn.IFNA(_xlfn.XLOOKUP(Rezultati[[#This Row],[Vpisna]], DomaceNaloge[Vpisna],DomaceNaloge[Skupaj]), 0)</f>
        <v>0</v>
      </c>
      <c r="E246" t="str">
        <f>_xlfn.IFNA(_xlfn.XLOOKUP(Rezultati[[#This Row],[Vpisna]], Izpit1[Vpisna],Izpit1[Skupaj]), "")</f>
        <v/>
      </c>
      <c r="F246" t="str">
        <f>_xlfn.IFNA(_xlfn.XLOOKUP(Rezultati[[#This Row],[Vpisna]], Izpit1[Vpisna],Izpit1[Računalnik]), "")</f>
        <v/>
      </c>
      <c r="G246" s="12" t="b">
        <v>0</v>
      </c>
      <c r="H246" t="str">
        <f>_xlfn.IFNA(_xlfn.XLOOKUP(Rezultati[[#This Row],[Vpisna]], Izpit2[Vpisna],Izpit2[Skupaj]), "")</f>
        <v/>
      </c>
      <c r="I246" t="str">
        <f>_xlfn.IFNA(_xlfn.XLOOKUP(Rezultati[[#This Row],[Vpisna]], Izpit2[Vpisna],Izpit2[Računalnik]), "")</f>
        <v/>
      </c>
      <c r="J246" s="12" t="b">
        <v>0</v>
      </c>
      <c r="K246" t="str">
        <f>_xlfn.IFNA(_xlfn.XLOOKUP(Rezultati[[#This Row],[Vpisna]], Izpit3[Vpisna],Izpit3[Skupaj]), "")</f>
        <v/>
      </c>
      <c r="L246" s="12" t="b">
        <v>0</v>
      </c>
      <c r="M246">
        <f>MAX(Rezultati[[#This Row],[1.izpit]],Rezultati[[#This Row],[2.izpit]],Rezultati[[#This Row],[3.izpit]])</f>
        <v>0</v>
      </c>
      <c r="N246"/>
      <c r="O246">
        <f>Rezultati[[#This Row],[DN]]+Rezultati[[#This Row],[Max]]+Rezultati[[#This Row],[Bonus]]</f>
        <v>0</v>
      </c>
      <c r="P246" t="str" cm="1">
        <f t="array" ref="P246">_xlfn.XLOOKUP(Rezultati[[#This Row],[Skupaj]],_xlfn.XLOOKUP(Rezultati[[#This Row],[Program]],Kriterij[[#Headers],[APF]:[PED]],Kriterij[[APF]:[PED]]), Kriterij[Ocena], "", -1, 2)</f>
        <v/>
      </c>
    </row>
    <row r="247" spans="2:16" x14ac:dyDescent="0.2">
      <c r="B247">
        <v>27000245</v>
      </c>
      <c r="C247" t="s">
        <v>12</v>
      </c>
      <c r="D247">
        <f>_xlfn.IFNA(_xlfn.XLOOKUP(Rezultati[[#This Row],[Vpisna]], DomaceNaloge[Vpisna],DomaceNaloge[Skupaj]), 0)</f>
        <v>8</v>
      </c>
      <c r="E247">
        <f>_xlfn.IFNA(_xlfn.XLOOKUP(Rezultati[[#This Row],[Vpisna]], Izpit1[Vpisna],Izpit1[Skupaj]), "")</f>
        <v>93.5</v>
      </c>
      <c r="F247" t="str">
        <f>_xlfn.IFNA(_xlfn.XLOOKUP(Rezultati[[#This Row],[Vpisna]], Izpit1[Vpisna],Izpit1[Računalnik]), "")</f>
        <v>svoj</v>
      </c>
      <c r="G247" s="12" t="b">
        <v>1</v>
      </c>
      <c r="H247" t="str">
        <f>_xlfn.IFNA(_xlfn.XLOOKUP(Rezultati[[#This Row],[Vpisna]], Izpit2[Vpisna],Izpit2[Skupaj]), "")</f>
        <v/>
      </c>
      <c r="I247" t="str">
        <f>_xlfn.IFNA(_xlfn.XLOOKUP(Rezultati[[#This Row],[Vpisna]], Izpit2[Vpisna],Izpit2[Računalnik]), "")</f>
        <v/>
      </c>
      <c r="J247" s="12" t="b">
        <v>0</v>
      </c>
      <c r="K247" t="str">
        <f>_xlfn.IFNA(_xlfn.XLOOKUP(Rezultati[[#This Row],[Vpisna]], Izpit3[Vpisna],Izpit3[Skupaj]), "")</f>
        <v/>
      </c>
      <c r="L247" s="12" t="b">
        <v>0</v>
      </c>
      <c r="M247">
        <f>MAX(Rezultati[[#This Row],[1.izpit]],Rezultati[[#This Row],[2.izpit]],Rezultati[[#This Row],[3.izpit]])</f>
        <v>93.5</v>
      </c>
      <c r="N247"/>
      <c r="O247">
        <f>Rezultati[[#This Row],[DN]]+Rezultati[[#This Row],[Max]]+Rezultati[[#This Row],[Bonus]]</f>
        <v>101.5</v>
      </c>
      <c r="P247" cm="1">
        <f t="array" ref="P247">_xlfn.XLOOKUP(Rezultati[[#This Row],[Skupaj]],_xlfn.XLOOKUP(Rezultati[[#This Row],[Program]],Kriterij[[#Headers],[APF]:[PED]],Kriterij[[APF]:[PED]]), Kriterij[Ocena], "", -1, 2)</f>
        <v>10</v>
      </c>
    </row>
    <row r="248" spans="2:16" x14ac:dyDescent="0.2">
      <c r="B248">
        <v>27000246</v>
      </c>
      <c r="C248" t="s">
        <v>12</v>
      </c>
      <c r="D248">
        <f>_xlfn.IFNA(_xlfn.XLOOKUP(Rezultati[[#This Row],[Vpisna]], DomaceNaloge[Vpisna],DomaceNaloge[Skupaj]), 0)</f>
        <v>10</v>
      </c>
      <c r="E248">
        <f>_xlfn.IFNA(_xlfn.XLOOKUP(Rezultati[[#This Row],[Vpisna]], Izpit1[Vpisna],Izpit1[Skupaj]), "")</f>
        <v>95</v>
      </c>
      <c r="F248" t="str">
        <f>_xlfn.IFNA(_xlfn.XLOOKUP(Rezultati[[#This Row],[Vpisna]], Izpit1[Vpisna],Izpit1[Računalnik]), "")</f>
        <v>svoj</v>
      </c>
      <c r="G248" s="12" t="b">
        <v>1</v>
      </c>
      <c r="H248" t="str">
        <f>_xlfn.IFNA(_xlfn.XLOOKUP(Rezultati[[#This Row],[Vpisna]], Izpit2[Vpisna],Izpit2[Skupaj]), "")</f>
        <v/>
      </c>
      <c r="I248" t="str">
        <f>_xlfn.IFNA(_xlfn.XLOOKUP(Rezultati[[#This Row],[Vpisna]], Izpit2[Vpisna],Izpit2[Računalnik]), "")</f>
        <v/>
      </c>
      <c r="J248" s="12" t="b">
        <v>0</v>
      </c>
      <c r="K248" t="str">
        <f>_xlfn.IFNA(_xlfn.XLOOKUP(Rezultati[[#This Row],[Vpisna]], Izpit3[Vpisna],Izpit3[Skupaj]), "")</f>
        <v/>
      </c>
      <c r="L248" s="12" t="b">
        <v>0</v>
      </c>
      <c r="M248">
        <f>MAX(Rezultati[[#This Row],[1.izpit]],Rezultati[[#This Row],[2.izpit]],Rezultati[[#This Row],[3.izpit]])</f>
        <v>95</v>
      </c>
      <c r="N248"/>
      <c r="O248">
        <f>Rezultati[[#This Row],[DN]]+Rezultati[[#This Row],[Max]]+Rezultati[[#This Row],[Bonus]]</f>
        <v>105</v>
      </c>
      <c r="P248" cm="1">
        <f t="array" ref="P248">_xlfn.XLOOKUP(Rezultati[[#This Row],[Skupaj]],_xlfn.XLOOKUP(Rezultati[[#This Row],[Program]],Kriterij[[#Headers],[APF]:[PED]],Kriterij[[APF]:[PED]]), Kriterij[Ocena], "", -1, 2)</f>
        <v>10</v>
      </c>
    </row>
    <row r="249" spans="2:16" x14ac:dyDescent="0.2">
      <c r="B249">
        <v>27000247</v>
      </c>
      <c r="C249" t="s">
        <v>12</v>
      </c>
      <c r="D249">
        <f>_xlfn.IFNA(_xlfn.XLOOKUP(Rezultati[[#This Row],[Vpisna]], DomaceNaloge[Vpisna],DomaceNaloge[Skupaj]), 0)</f>
        <v>10</v>
      </c>
      <c r="E249">
        <f>_xlfn.IFNA(_xlfn.XLOOKUP(Rezultati[[#This Row],[Vpisna]], Izpit1[Vpisna],Izpit1[Skupaj]), "")</f>
        <v>99</v>
      </c>
      <c r="F249" t="str">
        <f>_xlfn.IFNA(_xlfn.XLOOKUP(Rezultati[[#This Row],[Vpisna]], Izpit1[Vpisna],Izpit1[Računalnik]), "")</f>
        <v>svoj</v>
      </c>
      <c r="G249" s="12" t="b">
        <v>1</v>
      </c>
      <c r="H249" t="str">
        <f>_xlfn.IFNA(_xlfn.XLOOKUP(Rezultati[[#This Row],[Vpisna]], Izpit2[Vpisna],Izpit2[Skupaj]), "")</f>
        <v/>
      </c>
      <c r="I249" t="str">
        <f>_xlfn.IFNA(_xlfn.XLOOKUP(Rezultati[[#This Row],[Vpisna]], Izpit2[Vpisna],Izpit2[Računalnik]), "")</f>
        <v/>
      </c>
      <c r="J249" s="12" t="b">
        <v>0</v>
      </c>
      <c r="K249" t="str">
        <f>_xlfn.IFNA(_xlfn.XLOOKUP(Rezultati[[#This Row],[Vpisna]], Izpit3[Vpisna],Izpit3[Skupaj]), "")</f>
        <v/>
      </c>
      <c r="L249" s="12" t="b">
        <v>0</v>
      </c>
      <c r="M249">
        <f>MAX(Rezultati[[#This Row],[1.izpit]],Rezultati[[#This Row],[2.izpit]],Rezultati[[#This Row],[3.izpit]])</f>
        <v>99</v>
      </c>
      <c r="N249"/>
      <c r="O249">
        <f>Rezultati[[#This Row],[DN]]+Rezultati[[#This Row],[Max]]+Rezultati[[#This Row],[Bonus]]</f>
        <v>109</v>
      </c>
      <c r="P249" cm="1">
        <f t="array" ref="P249">_xlfn.XLOOKUP(Rezultati[[#This Row],[Skupaj]],_xlfn.XLOOKUP(Rezultati[[#This Row],[Program]],Kriterij[[#Headers],[APF]:[PED]],Kriterij[[APF]:[PED]]), Kriterij[Ocena], "", -1, 2)</f>
        <v>10</v>
      </c>
    </row>
    <row r="250" spans="2:16" x14ac:dyDescent="0.2">
      <c r="B250">
        <v>27000248</v>
      </c>
      <c r="C250" t="s">
        <v>12</v>
      </c>
      <c r="D250">
        <f>_xlfn.IFNA(_xlfn.XLOOKUP(Rezultati[[#This Row],[Vpisna]], DomaceNaloge[Vpisna],DomaceNaloge[Skupaj]), 0)</f>
        <v>7</v>
      </c>
      <c r="E250">
        <f>_xlfn.IFNA(_xlfn.XLOOKUP(Rezultati[[#This Row],[Vpisna]], Izpit1[Vpisna],Izpit1[Skupaj]), "")</f>
        <v>60</v>
      </c>
      <c r="F250" t="str">
        <f>_xlfn.IFNA(_xlfn.XLOOKUP(Rezultati[[#This Row],[Vpisna]], Izpit1[Vpisna],Izpit1[Računalnik]), "")</f>
        <v>svoj</v>
      </c>
      <c r="G250" s="12" t="b">
        <v>1</v>
      </c>
      <c r="H250" t="str">
        <f>_xlfn.IFNA(_xlfn.XLOOKUP(Rezultati[[#This Row],[Vpisna]], Izpit2[Vpisna],Izpit2[Skupaj]), "")</f>
        <v/>
      </c>
      <c r="I250" t="str">
        <f>_xlfn.IFNA(_xlfn.XLOOKUP(Rezultati[[#This Row],[Vpisna]], Izpit2[Vpisna],Izpit2[Računalnik]), "")</f>
        <v/>
      </c>
      <c r="J250" s="12" t="b">
        <v>0</v>
      </c>
      <c r="K250" t="str">
        <f>_xlfn.IFNA(_xlfn.XLOOKUP(Rezultati[[#This Row],[Vpisna]], Izpit3[Vpisna],Izpit3[Skupaj]), "")</f>
        <v/>
      </c>
      <c r="L250" s="12" t="b">
        <v>0</v>
      </c>
      <c r="M250">
        <f>MAX(Rezultati[[#This Row],[1.izpit]],Rezultati[[#This Row],[2.izpit]],Rezultati[[#This Row],[3.izpit]])</f>
        <v>60</v>
      </c>
      <c r="N250"/>
      <c r="O250">
        <f>Rezultati[[#This Row],[DN]]+Rezultati[[#This Row],[Max]]+Rezultati[[#This Row],[Bonus]]</f>
        <v>67</v>
      </c>
      <c r="P250" cm="1">
        <f t="array" ref="P250">_xlfn.XLOOKUP(Rezultati[[#This Row],[Skupaj]],_xlfn.XLOOKUP(Rezultati[[#This Row],[Program]],Kriterij[[#Headers],[APF]:[PED]],Kriterij[[APF]:[PED]]), Kriterij[Ocena], "", -1, 2)</f>
        <v>7</v>
      </c>
    </row>
    <row r="251" spans="2:16" x14ac:dyDescent="0.2">
      <c r="B251">
        <v>27000249</v>
      </c>
      <c r="C251" t="s">
        <v>12</v>
      </c>
      <c r="D251">
        <f>_xlfn.IFNA(_xlfn.XLOOKUP(Rezultati[[#This Row],[Vpisna]], DomaceNaloge[Vpisna],DomaceNaloge[Skupaj]), 0)</f>
        <v>0</v>
      </c>
      <c r="E251">
        <f>_xlfn.IFNA(_xlfn.XLOOKUP(Rezultati[[#This Row],[Vpisna]], Izpit1[Vpisna],Izpit1[Skupaj]), "")</f>
        <v>11.5</v>
      </c>
      <c r="F251" t="str">
        <f>_xlfn.IFNA(_xlfn.XLOOKUP(Rezultati[[#This Row],[Vpisna]], Izpit1[Vpisna],Izpit1[Računalnik]), "")</f>
        <v>svoj</v>
      </c>
      <c r="G251" s="12" t="b">
        <v>1</v>
      </c>
      <c r="H251" t="str">
        <f>_xlfn.IFNA(_xlfn.XLOOKUP(Rezultati[[#This Row],[Vpisna]], Izpit2[Vpisna],Izpit2[Skupaj]), "")</f>
        <v/>
      </c>
      <c r="I251" t="str">
        <f>_xlfn.IFNA(_xlfn.XLOOKUP(Rezultati[[#This Row],[Vpisna]], Izpit2[Vpisna],Izpit2[Računalnik]), "")</f>
        <v/>
      </c>
      <c r="J251" s="12" t="b">
        <v>0</v>
      </c>
      <c r="K251" t="str">
        <f>_xlfn.IFNA(_xlfn.XLOOKUP(Rezultati[[#This Row],[Vpisna]], Izpit3[Vpisna],Izpit3[Skupaj]), "")</f>
        <v/>
      </c>
      <c r="L251" s="12" t="b">
        <v>0</v>
      </c>
      <c r="M251">
        <f>MAX(Rezultati[[#This Row],[1.izpit]],Rezultati[[#This Row],[2.izpit]],Rezultati[[#This Row],[3.izpit]])</f>
        <v>11.5</v>
      </c>
      <c r="N251"/>
      <c r="O251">
        <f>Rezultati[[#This Row],[DN]]+Rezultati[[#This Row],[Max]]+Rezultati[[#This Row],[Bonus]]</f>
        <v>11.5</v>
      </c>
      <c r="P251" cm="1">
        <f t="array" ref="P251">_xlfn.XLOOKUP(Rezultati[[#This Row],[Skupaj]],_xlfn.XLOOKUP(Rezultati[[#This Row],[Program]],Kriterij[[#Headers],[APF]:[PED]],Kriterij[[APF]:[PED]]), Kriterij[Ocena], "", -1, 2)</f>
        <v>5</v>
      </c>
    </row>
    <row r="252" spans="2:16" x14ac:dyDescent="0.2">
      <c r="B252">
        <v>27000250</v>
      </c>
      <c r="C252" t="s">
        <v>12</v>
      </c>
      <c r="D252">
        <f>_xlfn.IFNA(_xlfn.XLOOKUP(Rezultati[[#This Row],[Vpisna]], DomaceNaloge[Vpisna],DomaceNaloge[Skupaj]), 0)</f>
        <v>10</v>
      </c>
      <c r="E252">
        <f>_xlfn.IFNA(_xlfn.XLOOKUP(Rezultati[[#This Row],[Vpisna]], Izpit1[Vpisna],Izpit1[Skupaj]), "")</f>
        <v>84</v>
      </c>
      <c r="F252" t="str">
        <f>_xlfn.IFNA(_xlfn.XLOOKUP(Rezultati[[#This Row],[Vpisna]], Izpit1[Vpisna],Izpit1[Računalnik]), "")</f>
        <v>šolski</v>
      </c>
      <c r="G252" s="12" t="b">
        <v>1</v>
      </c>
      <c r="H252" t="str">
        <f>_xlfn.IFNA(_xlfn.XLOOKUP(Rezultati[[#This Row],[Vpisna]], Izpit2[Vpisna],Izpit2[Skupaj]), "")</f>
        <v/>
      </c>
      <c r="I252" t="str">
        <f>_xlfn.IFNA(_xlfn.XLOOKUP(Rezultati[[#This Row],[Vpisna]], Izpit2[Vpisna],Izpit2[Računalnik]), "")</f>
        <v/>
      </c>
      <c r="J252" s="12" t="b">
        <v>0</v>
      </c>
      <c r="K252" t="str">
        <f>_xlfn.IFNA(_xlfn.XLOOKUP(Rezultati[[#This Row],[Vpisna]], Izpit3[Vpisna],Izpit3[Skupaj]), "")</f>
        <v/>
      </c>
      <c r="L252" s="12" t="b">
        <v>0</v>
      </c>
      <c r="M252">
        <f>MAX(Rezultati[[#This Row],[1.izpit]],Rezultati[[#This Row],[2.izpit]],Rezultati[[#This Row],[3.izpit]])</f>
        <v>84</v>
      </c>
      <c r="N252"/>
      <c r="O252">
        <f>Rezultati[[#This Row],[DN]]+Rezultati[[#This Row],[Max]]+Rezultati[[#This Row],[Bonus]]</f>
        <v>94</v>
      </c>
      <c r="P252" cm="1">
        <f t="array" ref="P252">_xlfn.XLOOKUP(Rezultati[[#This Row],[Skupaj]],_xlfn.XLOOKUP(Rezultati[[#This Row],[Program]],Kriterij[[#Headers],[APF]:[PED]],Kriterij[[APF]:[PED]]), Kriterij[Ocena], "", -1, 2)</f>
        <v>10</v>
      </c>
    </row>
    <row r="253" spans="2:16" x14ac:dyDescent="0.2">
      <c r="B253">
        <v>27000251</v>
      </c>
      <c r="C253" t="s">
        <v>12</v>
      </c>
      <c r="D253">
        <f>_xlfn.IFNA(_xlfn.XLOOKUP(Rezultati[[#This Row],[Vpisna]], DomaceNaloge[Vpisna],DomaceNaloge[Skupaj]), 0)</f>
        <v>10</v>
      </c>
      <c r="E253">
        <f>_xlfn.IFNA(_xlfn.XLOOKUP(Rezultati[[#This Row],[Vpisna]], Izpit1[Vpisna],Izpit1[Skupaj]), "")</f>
        <v>99</v>
      </c>
      <c r="F253" t="str">
        <f>_xlfn.IFNA(_xlfn.XLOOKUP(Rezultati[[#This Row],[Vpisna]], Izpit1[Vpisna],Izpit1[Računalnik]), "")</f>
        <v>svoj</v>
      </c>
      <c r="G253" s="12" t="b">
        <v>1</v>
      </c>
      <c r="H253" t="str">
        <f>_xlfn.IFNA(_xlfn.XLOOKUP(Rezultati[[#This Row],[Vpisna]], Izpit2[Vpisna],Izpit2[Skupaj]), "")</f>
        <v/>
      </c>
      <c r="I253" t="str">
        <f>_xlfn.IFNA(_xlfn.XLOOKUP(Rezultati[[#This Row],[Vpisna]], Izpit2[Vpisna],Izpit2[Računalnik]), "")</f>
        <v/>
      </c>
      <c r="J253" s="12" t="b">
        <v>0</v>
      </c>
      <c r="K253" t="str">
        <f>_xlfn.IFNA(_xlfn.XLOOKUP(Rezultati[[#This Row],[Vpisna]], Izpit3[Vpisna],Izpit3[Skupaj]), "")</f>
        <v/>
      </c>
      <c r="L253" s="12" t="b">
        <v>0</v>
      </c>
      <c r="M253">
        <f>MAX(Rezultati[[#This Row],[1.izpit]],Rezultati[[#This Row],[2.izpit]],Rezultati[[#This Row],[3.izpit]])</f>
        <v>99</v>
      </c>
      <c r="N253"/>
      <c r="O253">
        <f>Rezultati[[#This Row],[DN]]+Rezultati[[#This Row],[Max]]+Rezultati[[#This Row],[Bonus]]</f>
        <v>109</v>
      </c>
      <c r="P253" cm="1">
        <f t="array" ref="P253">_xlfn.XLOOKUP(Rezultati[[#This Row],[Skupaj]],_xlfn.XLOOKUP(Rezultati[[#This Row],[Program]],Kriterij[[#Headers],[APF]:[PED]],Kriterij[[APF]:[PED]]), Kriterij[Ocena], "", -1, 2)</f>
        <v>10</v>
      </c>
    </row>
    <row r="254" spans="2:16" x14ac:dyDescent="0.2">
      <c r="B254">
        <v>27000252</v>
      </c>
      <c r="C254" t="s">
        <v>12</v>
      </c>
      <c r="D254">
        <f>_xlfn.IFNA(_xlfn.XLOOKUP(Rezultati[[#This Row],[Vpisna]], DomaceNaloge[Vpisna],DomaceNaloge[Skupaj]), 0)</f>
        <v>0</v>
      </c>
      <c r="E254" t="str">
        <f>_xlfn.IFNA(_xlfn.XLOOKUP(Rezultati[[#This Row],[Vpisna]], Izpit1[Vpisna],Izpit1[Skupaj]), "")</f>
        <v/>
      </c>
      <c r="F254" t="str">
        <f>_xlfn.IFNA(_xlfn.XLOOKUP(Rezultati[[#This Row],[Vpisna]], Izpit1[Vpisna],Izpit1[Računalnik]), "")</f>
        <v/>
      </c>
      <c r="G254" s="12" t="b">
        <v>0</v>
      </c>
      <c r="H254" t="str">
        <f>_xlfn.IFNA(_xlfn.XLOOKUP(Rezultati[[#This Row],[Vpisna]], Izpit2[Vpisna],Izpit2[Skupaj]), "")</f>
        <v/>
      </c>
      <c r="I254" t="str">
        <f>_xlfn.IFNA(_xlfn.XLOOKUP(Rezultati[[#This Row],[Vpisna]], Izpit2[Vpisna],Izpit2[Računalnik]), "")</f>
        <v/>
      </c>
      <c r="J254" s="12" t="b">
        <v>0</v>
      </c>
      <c r="K254" t="str">
        <f>_xlfn.IFNA(_xlfn.XLOOKUP(Rezultati[[#This Row],[Vpisna]], Izpit3[Vpisna],Izpit3[Skupaj]), "")</f>
        <v/>
      </c>
      <c r="L254" s="12" t="b">
        <v>0</v>
      </c>
      <c r="M254">
        <f>MAX(Rezultati[[#This Row],[1.izpit]],Rezultati[[#This Row],[2.izpit]],Rezultati[[#This Row],[3.izpit]])</f>
        <v>0</v>
      </c>
      <c r="N254"/>
      <c r="O254">
        <f>Rezultati[[#This Row],[DN]]+Rezultati[[#This Row],[Max]]+Rezultati[[#This Row],[Bonus]]</f>
        <v>0</v>
      </c>
      <c r="P254" t="str" cm="1">
        <f t="array" ref="P254">_xlfn.XLOOKUP(Rezultati[[#This Row],[Skupaj]],_xlfn.XLOOKUP(Rezultati[[#This Row],[Program]],Kriterij[[#Headers],[APF]:[PED]],Kriterij[[APF]:[PED]]), Kriterij[Ocena], "", -1, 2)</f>
        <v/>
      </c>
    </row>
    <row r="255" spans="2:16" x14ac:dyDescent="0.2">
      <c r="B255">
        <v>27000253</v>
      </c>
      <c r="C255" t="s">
        <v>12</v>
      </c>
      <c r="D255">
        <f>_xlfn.IFNA(_xlfn.XLOOKUP(Rezultati[[#This Row],[Vpisna]], DomaceNaloge[Vpisna],DomaceNaloge[Skupaj]), 0)</f>
        <v>0</v>
      </c>
      <c r="E255" t="str">
        <f>_xlfn.IFNA(_xlfn.XLOOKUP(Rezultati[[#This Row],[Vpisna]], Izpit1[Vpisna],Izpit1[Skupaj]), "")</f>
        <v/>
      </c>
      <c r="F255" t="str">
        <f>_xlfn.IFNA(_xlfn.XLOOKUP(Rezultati[[#This Row],[Vpisna]], Izpit1[Vpisna],Izpit1[Računalnik]), "")</f>
        <v/>
      </c>
      <c r="G255" s="12" t="b">
        <v>0</v>
      </c>
      <c r="H255" t="str">
        <f>_xlfn.IFNA(_xlfn.XLOOKUP(Rezultati[[#This Row],[Vpisna]], Izpit2[Vpisna],Izpit2[Skupaj]), "")</f>
        <v/>
      </c>
      <c r="I255" t="str">
        <f>_xlfn.IFNA(_xlfn.XLOOKUP(Rezultati[[#This Row],[Vpisna]], Izpit2[Vpisna],Izpit2[Računalnik]), "")</f>
        <v/>
      </c>
      <c r="J255" s="12" t="b">
        <v>0</v>
      </c>
      <c r="K255" t="str">
        <f>_xlfn.IFNA(_xlfn.XLOOKUP(Rezultati[[#This Row],[Vpisna]], Izpit3[Vpisna],Izpit3[Skupaj]), "")</f>
        <v/>
      </c>
      <c r="L255" s="12" t="b">
        <v>0</v>
      </c>
      <c r="M255">
        <f>MAX(Rezultati[[#This Row],[1.izpit]],Rezultati[[#This Row],[2.izpit]],Rezultati[[#This Row],[3.izpit]])</f>
        <v>0</v>
      </c>
      <c r="N255"/>
      <c r="O255">
        <f>Rezultati[[#This Row],[DN]]+Rezultati[[#This Row],[Max]]+Rezultati[[#This Row],[Bonus]]</f>
        <v>0</v>
      </c>
      <c r="P255" t="str" cm="1">
        <f t="array" ref="P255">_xlfn.XLOOKUP(Rezultati[[#This Row],[Skupaj]],_xlfn.XLOOKUP(Rezultati[[#This Row],[Program]],Kriterij[[#Headers],[APF]:[PED]],Kriterij[[APF]:[PED]]), Kriterij[Ocena], "", -1, 2)</f>
        <v/>
      </c>
    </row>
    <row r="256" spans="2:16" x14ac:dyDescent="0.2">
      <c r="B256">
        <v>27000254</v>
      </c>
      <c r="C256" t="s">
        <v>12</v>
      </c>
      <c r="D256">
        <f>_xlfn.IFNA(_xlfn.XLOOKUP(Rezultati[[#This Row],[Vpisna]], DomaceNaloge[Vpisna],DomaceNaloge[Skupaj]), 0)</f>
        <v>8</v>
      </c>
      <c r="E256">
        <f>_xlfn.IFNA(_xlfn.XLOOKUP(Rezultati[[#This Row],[Vpisna]], Izpit1[Vpisna],Izpit1[Skupaj]), "")</f>
        <v>96.5</v>
      </c>
      <c r="F256" t="str">
        <f>_xlfn.IFNA(_xlfn.XLOOKUP(Rezultati[[#This Row],[Vpisna]], Izpit1[Vpisna],Izpit1[Računalnik]), "")</f>
        <v>svoj</v>
      </c>
      <c r="G256" s="12" t="b">
        <v>1</v>
      </c>
      <c r="H256" t="str">
        <f>_xlfn.IFNA(_xlfn.XLOOKUP(Rezultati[[#This Row],[Vpisna]], Izpit2[Vpisna],Izpit2[Skupaj]), "")</f>
        <v/>
      </c>
      <c r="I256" t="str">
        <f>_xlfn.IFNA(_xlfn.XLOOKUP(Rezultati[[#This Row],[Vpisna]], Izpit2[Vpisna],Izpit2[Računalnik]), "")</f>
        <v/>
      </c>
      <c r="J256" s="12" t="b">
        <v>0</v>
      </c>
      <c r="K256" t="str">
        <f>_xlfn.IFNA(_xlfn.XLOOKUP(Rezultati[[#This Row],[Vpisna]], Izpit3[Vpisna],Izpit3[Skupaj]), "")</f>
        <v/>
      </c>
      <c r="L256" s="12" t="b">
        <v>0</v>
      </c>
      <c r="M256">
        <f>MAX(Rezultati[[#This Row],[1.izpit]],Rezultati[[#This Row],[2.izpit]],Rezultati[[#This Row],[3.izpit]])</f>
        <v>96.5</v>
      </c>
      <c r="N256"/>
      <c r="O256">
        <f>Rezultati[[#This Row],[DN]]+Rezultati[[#This Row],[Max]]+Rezultati[[#This Row],[Bonus]]</f>
        <v>104.5</v>
      </c>
      <c r="P256" cm="1">
        <f t="array" ref="P256">_xlfn.XLOOKUP(Rezultati[[#This Row],[Skupaj]],_xlfn.XLOOKUP(Rezultati[[#This Row],[Program]],Kriterij[[#Headers],[APF]:[PED]],Kriterij[[APF]:[PED]]), Kriterij[Ocena], "", -1, 2)</f>
        <v>10</v>
      </c>
    </row>
    <row r="257" spans="2:16" x14ac:dyDescent="0.2">
      <c r="B257">
        <v>27000255</v>
      </c>
      <c r="C257" t="s">
        <v>12</v>
      </c>
      <c r="D257">
        <f>_xlfn.IFNA(_xlfn.XLOOKUP(Rezultati[[#This Row],[Vpisna]], DomaceNaloge[Vpisna],DomaceNaloge[Skupaj]), 0)</f>
        <v>9</v>
      </c>
      <c r="E257">
        <f>_xlfn.IFNA(_xlfn.XLOOKUP(Rezultati[[#This Row],[Vpisna]], Izpit1[Vpisna],Izpit1[Skupaj]), "")</f>
        <v>87</v>
      </c>
      <c r="F257" t="str">
        <f>_xlfn.IFNA(_xlfn.XLOOKUP(Rezultati[[#This Row],[Vpisna]], Izpit1[Vpisna],Izpit1[Računalnik]), "")</f>
        <v>šolski</v>
      </c>
      <c r="G257" s="12" t="b">
        <v>1</v>
      </c>
      <c r="H257" t="str">
        <f>_xlfn.IFNA(_xlfn.XLOOKUP(Rezultati[[#This Row],[Vpisna]], Izpit2[Vpisna],Izpit2[Skupaj]), "")</f>
        <v/>
      </c>
      <c r="I257" t="str">
        <f>_xlfn.IFNA(_xlfn.XLOOKUP(Rezultati[[#This Row],[Vpisna]], Izpit2[Vpisna],Izpit2[Računalnik]), "")</f>
        <v/>
      </c>
      <c r="J257" s="12" t="b">
        <v>0</v>
      </c>
      <c r="K257" t="str">
        <f>_xlfn.IFNA(_xlfn.XLOOKUP(Rezultati[[#This Row],[Vpisna]], Izpit3[Vpisna],Izpit3[Skupaj]), "")</f>
        <v/>
      </c>
      <c r="L257" s="12" t="b">
        <v>0</v>
      </c>
      <c r="M257">
        <f>MAX(Rezultati[[#This Row],[1.izpit]],Rezultati[[#This Row],[2.izpit]],Rezultati[[#This Row],[3.izpit]])</f>
        <v>87</v>
      </c>
      <c r="N257"/>
      <c r="O257">
        <f>Rezultati[[#This Row],[DN]]+Rezultati[[#This Row],[Max]]+Rezultati[[#This Row],[Bonus]]</f>
        <v>96</v>
      </c>
      <c r="P257" cm="1">
        <f t="array" ref="P257">_xlfn.XLOOKUP(Rezultati[[#This Row],[Skupaj]],_xlfn.XLOOKUP(Rezultati[[#This Row],[Program]],Kriterij[[#Headers],[APF]:[PED]],Kriterij[[APF]:[PED]]), Kriterij[Ocena], "", -1, 2)</f>
        <v>10</v>
      </c>
    </row>
    <row r="258" spans="2:16" x14ac:dyDescent="0.2">
      <c r="B258">
        <v>27000256</v>
      </c>
      <c r="C258" t="s">
        <v>12</v>
      </c>
      <c r="D258">
        <f>_xlfn.IFNA(_xlfn.XLOOKUP(Rezultati[[#This Row],[Vpisna]], DomaceNaloge[Vpisna],DomaceNaloge[Skupaj]), 0)</f>
        <v>0</v>
      </c>
      <c r="E258" t="str">
        <f>_xlfn.IFNA(_xlfn.XLOOKUP(Rezultati[[#This Row],[Vpisna]], Izpit1[Vpisna],Izpit1[Skupaj]), "")</f>
        <v/>
      </c>
      <c r="F258" t="str">
        <f>_xlfn.IFNA(_xlfn.XLOOKUP(Rezultati[[#This Row],[Vpisna]], Izpit1[Vpisna],Izpit1[Računalnik]), "")</f>
        <v/>
      </c>
      <c r="G258" s="12" t="b">
        <v>0</v>
      </c>
      <c r="H258" t="str">
        <f>_xlfn.IFNA(_xlfn.XLOOKUP(Rezultati[[#This Row],[Vpisna]], Izpit2[Vpisna],Izpit2[Skupaj]), "")</f>
        <v/>
      </c>
      <c r="I258" t="str">
        <f>_xlfn.IFNA(_xlfn.XLOOKUP(Rezultati[[#This Row],[Vpisna]], Izpit2[Vpisna],Izpit2[Računalnik]), "")</f>
        <v/>
      </c>
      <c r="J258" s="12" t="b">
        <v>0</v>
      </c>
      <c r="K258" t="str">
        <f>_xlfn.IFNA(_xlfn.XLOOKUP(Rezultati[[#This Row],[Vpisna]], Izpit3[Vpisna],Izpit3[Skupaj]), "")</f>
        <v/>
      </c>
      <c r="L258" s="12" t="b">
        <v>0</v>
      </c>
      <c r="M258">
        <f>MAX(Rezultati[[#This Row],[1.izpit]],Rezultati[[#This Row],[2.izpit]],Rezultati[[#This Row],[3.izpit]])</f>
        <v>0</v>
      </c>
      <c r="N258"/>
      <c r="O258">
        <f>Rezultati[[#This Row],[DN]]+Rezultati[[#This Row],[Max]]+Rezultati[[#This Row],[Bonus]]</f>
        <v>0</v>
      </c>
      <c r="P258" t="str" cm="1">
        <f t="array" ref="P258">_xlfn.XLOOKUP(Rezultati[[#This Row],[Skupaj]],_xlfn.XLOOKUP(Rezultati[[#This Row],[Program]],Kriterij[[#Headers],[APF]:[PED]],Kriterij[[APF]:[PED]]), Kriterij[Ocena], "", -1, 2)</f>
        <v/>
      </c>
    </row>
    <row r="259" spans="2:16" x14ac:dyDescent="0.2">
      <c r="B259">
        <v>27000257</v>
      </c>
      <c r="C259" t="s">
        <v>12</v>
      </c>
      <c r="D259">
        <f>_xlfn.IFNA(_xlfn.XLOOKUP(Rezultati[[#This Row],[Vpisna]], DomaceNaloge[Vpisna],DomaceNaloge[Skupaj]), 0)</f>
        <v>9</v>
      </c>
      <c r="E259">
        <f>_xlfn.IFNA(_xlfn.XLOOKUP(Rezultati[[#This Row],[Vpisna]], Izpit1[Vpisna],Izpit1[Skupaj]), "")</f>
        <v>63</v>
      </c>
      <c r="F259" t="str">
        <f>_xlfn.IFNA(_xlfn.XLOOKUP(Rezultati[[#This Row],[Vpisna]], Izpit1[Vpisna],Izpit1[Računalnik]), "")</f>
        <v>svoj</v>
      </c>
      <c r="G259" s="12" t="b">
        <v>1</v>
      </c>
      <c r="H259" t="str">
        <f>_xlfn.IFNA(_xlfn.XLOOKUP(Rezultati[[#This Row],[Vpisna]], Izpit2[Vpisna],Izpit2[Skupaj]), "")</f>
        <v/>
      </c>
      <c r="I259" t="str">
        <f>_xlfn.IFNA(_xlfn.XLOOKUP(Rezultati[[#This Row],[Vpisna]], Izpit2[Vpisna],Izpit2[Računalnik]), "")</f>
        <v/>
      </c>
      <c r="J259" s="12" t="b">
        <v>0</v>
      </c>
      <c r="K259" t="str">
        <f>_xlfn.IFNA(_xlfn.XLOOKUP(Rezultati[[#This Row],[Vpisna]], Izpit3[Vpisna],Izpit3[Skupaj]), "")</f>
        <v/>
      </c>
      <c r="L259" s="12" t="b">
        <v>0</v>
      </c>
      <c r="M259">
        <f>MAX(Rezultati[[#This Row],[1.izpit]],Rezultati[[#This Row],[2.izpit]],Rezultati[[#This Row],[3.izpit]])</f>
        <v>63</v>
      </c>
      <c r="N259"/>
      <c r="O259">
        <f>Rezultati[[#This Row],[DN]]+Rezultati[[#This Row],[Max]]+Rezultati[[#This Row],[Bonus]]</f>
        <v>72</v>
      </c>
      <c r="P259" cm="1">
        <f t="array" ref="P259">_xlfn.XLOOKUP(Rezultati[[#This Row],[Skupaj]],_xlfn.XLOOKUP(Rezultati[[#This Row],[Program]],Kriterij[[#Headers],[APF]:[PED]],Kriterij[[APF]:[PED]]), Kriterij[Ocena], "", -1, 2)</f>
        <v>8</v>
      </c>
    </row>
    <row r="260" spans="2:16" x14ac:dyDescent="0.2">
      <c r="B260">
        <v>27000258</v>
      </c>
      <c r="C260" t="s">
        <v>12</v>
      </c>
      <c r="D260">
        <f>_xlfn.IFNA(_xlfn.XLOOKUP(Rezultati[[#This Row],[Vpisna]], DomaceNaloge[Vpisna],DomaceNaloge[Skupaj]), 0)</f>
        <v>0</v>
      </c>
      <c r="E260" t="str">
        <f>_xlfn.IFNA(_xlfn.XLOOKUP(Rezultati[[#This Row],[Vpisna]], Izpit1[Vpisna],Izpit1[Skupaj]), "")</f>
        <v/>
      </c>
      <c r="F260" t="str">
        <f>_xlfn.IFNA(_xlfn.XLOOKUP(Rezultati[[#This Row],[Vpisna]], Izpit1[Vpisna],Izpit1[Računalnik]), "")</f>
        <v/>
      </c>
      <c r="G260" s="12" t="b">
        <v>0</v>
      </c>
      <c r="H260" t="str">
        <f>_xlfn.IFNA(_xlfn.XLOOKUP(Rezultati[[#This Row],[Vpisna]], Izpit2[Vpisna],Izpit2[Skupaj]), "")</f>
        <v/>
      </c>
      <c r="I260" t="str">
        <f>_xlfn.IFNA(_xlfn.XLOOKUP(Rezultati[[#This Row],[Vpisna]], Izpit2[Vpisna],Izpit2[Računalnik]), "")</f>
        <v/>
      </c>
      <c r="J260" s="12" t="b">
        <v>0</v>
      </c>
      <c r="K260" t="str">
        <f>_xlfn.IFNA(_xlfn.XLOOKUP(Rezultati[[#This Row],[Vpisna]], Izpit3[Vpisna],Izpit3[Skupaj]), "")</f>
        <v/>
      </c>
      <c r="L260" s="12" t="b">
        <v>0</v>
      </c>
      <c r="M260">
        <f>MAX(Rezultati[[#This Row],[1.izpit]],Rezultati[[#This Row],[2.izpit]],Rezultati[[#This Row],[3.izpit]])</f>
        <v>0</v>
      </c>
      <c r="N260"/>
      <c r="O260">
        <f>Rezultati[[#This Row],[DN]]+Rezultati[[#This Row],[Max]]+Rezultati[[#This Row],[Bonus]]</f>
        <v>0</v>
      </c>
      <c r="P260" t="str" cm="1">
        <f t="array" ref="P260">_xlfn.XLOOKUP(Rezultati[[#This Row],[Skupaj]],_xlfn.XLOOKUP(Rezultati[[#This Row],[Program]],Kriterij[[#Headers],[APF]:[PED]],Kriterij[[APF]:[PED]]), Kriterij[Ocena], "", -1, 2)</f>
        <v/>
      </c>
    </row>
    <row r="261" spans="2:16" x14ac:dyDescent="0.2">
      <c r="B261">
        <v>27000259</v>
      </c>
      <c r="C261" t="s">
        <v>12</v>
      </c>
      <c r="D261">
        <f>_xlfn.IFNA(_xlfn.XLOOKUP(Rezultati[[#This Row],[Vpisna]], DomaceNaloge[Vpisna],DomaceNaloge[Skupaj]), 0)</f>
        <v>7</v>
      </c>
      <c r="E261">
        <f>_xlfn.IFNA(_xlfn.XLOOKUP(Rezultati[[#This Row],[Vpisna]], Izpit1[Vpisna],Izpit1[Skupaj]), "")</f>
        <v>61.5</v>
      </c>
      <c r="F261" t="str">
        <f>_xlfn.IFNA(_xlfn.XLOOKUP(Rezultati[[#This Row],[Vpisna]], Izpit1[Vpisna],Izpit1[Računalnik]), "")</f>
        <v>svoj</v>
      </c>
      <c r="G261" s="12" t="b">
        <v>1</v>
      </c>
      <c r="H261" t="str">
        <f>_xlfn.IFNA(_xlfn.XLOOKUP(Rezultati[[#This Row],[Vpisna]], Izpit2[Vpisna],Izpit2[Skupaj]), "")</f>
        <v/>
      </c>
      <c r="I261" t="str">
        <f>_xlfn.IFNA(_xlfn.XLOOKUP(Rezultati[[#This Row],[Vpisna]], Izpit2[Vpisna],Izpit2[Računalnik]), "")</f>
        <v/>
      </c>
      <c r="J261" s="12" t="b">
        <v>0</v>
      </c>
      <c r="K261" t="str">
        <f>_xlfn.IFNA(_xlfn.XLOOKUP(Rezultati[[#This Row],[Vpisna]], Izpit3[Vpisna],Izpit3[Skupaj]), "")</f>
        <v/>
      </c>
      <c r="L261" s="12" t="b">
        <v>0</v>
      </c>
      <c r="M261">
        <f>MAX(Rezultati[[#This Row],[1.izpit]],Rezultati[[#This Row],[2.izpit]],Rezultati[[#This Row],[3.izpit]])</f>
        <v>61.5</v>
      </c>
      <c r="N261"/>
      <c r="O261">
        <f>Rezultati[[#This Row],[DN]]+Rezultati[[#This Row],[Max]]+Rezultati[[#This Row],[Bonus]]</f>
        <v>68.5</v>
      </c>
      <c r="P261" cm="1">
        <f t="array" ref="P261">_xlfn.XLOOKUP(Rezultati[[#This Row],[Skupaj]],_xlfn.XLOOKUP(Rezultati[[#This Row],[Program]],Kriterij[[#Headers],[APF]:[PED]],Kriterij[[APF]:[PED]]), Kriterij[Ocena], "", -1, 2)</f>
        <v>7</v>
      </c>
    </row>
    <row r="262" spans="2:16" x14ac:dyDescent="0.2">
      <c r="B262">
        <v>27000260</v>
      </c>
      <c r="C262" t="s">
        <v>12</v>
      </c>
      <c r="D262">
        <f>_xlfn.IFNA(_xlfn.XLOOKUP(Rezultati[[#This Row],[Vpisna]], DomaceNaloge[Vpisna],DomaceNaloge[Skupaj]), 0)</f>
        <v>0</v>
      </c>
      <c r="E262" t="str">
        <f>_xlfn.IFNA(_xlfn.XLOOKUP(Rezultati[[#This Row],[Vpisna]], Izpit1[Vpisna],Izpit1[Skupaj]), "")</f>
        <v/>
      </c>
      <c r="F262" t="str">
        <f>_xlfn.IFNA(_xlfn.XLOOKUP(Rezultati[[#This Row],[Vpisna]], Izpit1[Vpisna],Izpit1[Računalnik]), "")</f>
        <v/>
      </c>
      <c r="G262" s="12" t="b">
        <v>0</v>
      </c>
      <c r="H262" t="str">
        <f>_xlfn.IFNA(_xlfn.XLOOKUP(Rezultati[[#This Row],[Vpisna]], Izpit2[Vpisna],Izpit2[Skupaj]), "")</f>
        <v/>
      </c>
      <c r="I262" t="str">
        <f>_xlfn.IFNA(_xlfn.XLOOKUP(Rezultati[[#This Row],[Vpisna]], Izpit2[Vpisna],Izpit2[Računalnik]), "")</f>
        <v/>
      </c>
      <c r="J262" s="12" t="b">
        <v>0</v>
      </c>
      <c r="K262" t="str">
        <f>_xlfn.IFNA(_xlfn.XLOOKUP(Rezultati[[#This Row],[Vpisna]], Izpit3[Vpisna],Izpit3[Skupaj]), "")</f>
        <v/>
      </c>
      <c r="L262" s="12" t="b">
        <v>0</v>
      </c>
      <c r="M262">
        <f>MAX(Rezultati[[#This Row],[1.izpit]],Rezultati[[#This Row],[2.izpit]],Rezultati[[#This Row],[3.izpit]])</f>
        <v>0</v>
      </c>
      <c r="N262"/>
      <c r="O262">
        <f>Rezultati[[#This Row],[DN]]+Rezultati[[#This Row],[Max]]+Rezultati[[#This Row],[Bonus]]</f>
        <v>0</v>
      </c>
      <c r="P262" t="str" cm="1">
        <f t="array" ref="P262">_xlfn.XLOOKUP(Rezultati[[#This Row],[Skupaj]],_xlfn.XLOOKUP(Rezultati[[#This Row],[Program]],Kriterij[[#Headers],[APF]:[PED]],Kriterij[[APF]:[PED]]), Kriterij[Ocena], "", -1, 2)</f>
        <v/>
      </c>
    </row>
    <row r="263" spans="2:16" x14ac:dyDescent="0.2">
      <c r="B263">
        <v>27000261</v>
      </c>
      <c r="C263" t="s">
        <v>12</v>
      </c>
      <c r="D263">
        <f>_xlfn.IFNA(_xlfn.XLOOKUP(Rezultati[[#This Row],[Vpisna]], DomaceNaloge[Vpisna],DomaceNaloge[Skupaj]), 0)</f>
        <v>6</v>
      </c>
      <c r="E263">
        <f>_xlfn.IFNA(_xlfn.XLOOKUP(Rezultati[[#This Row],[Vpisna]], Izpit1[Vpisna],Izpit1[Skupaj]), "")</f>
        <v>90</v>
      </c>
      <c r="F263" t="str">
        <f>_xlfn.IFNA(_xlfn.XLOOKUP(Rezultati[[#This Row],[Vpisna]], Izpit1[Vpisna],Izpit1[Računalnik]), "")</f>
        <v>svoj</v>
      </c>
      <c r="G263" s="12" t="b">
        <v>1</v>
      </c>
      <c r="H263" t="str">
        <f>_xlfn.IFNA(_xlfn.XLOOKUP(Rezultati[[#This Row],[Vpisna]], Izpit2[Vpisna],Izpit2[Skupaj]), "")</f>
        <v/>
      </c>
      <c r="I263" t="str">
        <f>_xlfn.IFNA(_xlfn.XLOOKUP(Rezultati[[#This Row],[Vpisna]], Izpit2[Vpisna],Izpit2[Računalnik]), "")</f>
        <v/>
      </c>
      <c r="J263" s="12" t="b">
        <v>0</v>
      </c>
      <c r="K263" t="str">
        <f>_xlfn.IFNA(_xlfn.XLOOKUP(Rezultati[[#This Row],[Vpisna]], Izpit3[Vpisna],Izpit3[Skupaj]), "")</f>
        <v/>
      </c>
      <c r="L263" s="12" t="b">
        <v>0</v>
      </c>
      <c r="M263">
        <f>MAX(Rezultati[[#This Row],[1.izpit]],Rezultati[[#This Row],[2.izpit]],Rezultati[[#This Row],[3.izpit]])</f>
        <v>90</v>
      </c>
      <c r="N263"/>
      <c r="O263">
        <f>Rezultati[[#This Row],[DN]]+Rezultati[[#This Row],[Max]]+Rezultati[[#This Row],[Bonus]]</f>
        <v>96</v>
      </c>
      <c r="P263" cm="1">
        <f t="array" ref="P263">_xlfn.XLOOKUP(Rezultati[[#This Row],[Skupaj]],_xlfn.XLOOKUP(Rezultati[[#This Row],[Program]],Kriterij[[#Headers],[APF]:[PED]],Kriterij[[APF]:[PED]]), Kriterij[Ocena], "", -1, 2)</f>
        <v>10</v>
      </c>
    </row>
    <row r="264" spans="2:16" x14ac:dyDescent="0.2">
      <c r="B264">
        <v>27000262</v>
      </c>
      <c r="C264" t="s">
        <v>12</v>
      </c>
      <c r="D264">
        <f>_xlfn.IFNA(_xlfn.XLOOKUP(Rezultati[[#This Row],[Vpisna]], DomaceNaloge[Vpisna],DomaceNaloge[Skupaj]), 0)</f>
        <v>0</v>
      </c>
      <c r="E264" t="str">
        <f>_xlfn.IFNA(_xlfn.XLOOKUP(Rezultati[[#This Row],[Vpisna]], Izpit1[Vpisna],Izpit1[Skupaj]), "")</f>
        <v/>
      </c>
      <c r="F264" t="str">
        <f>_xlfn.IFNA(_xlfn.XLOOKUP(Rezultati[[#This Row],[Vpisna]], Izpit1[Vpisna],Izpit1[Računalnik]), "")</f>
        <v/>
      </c>
      <c r="G264" s="12" t="b">
        <v>0</v>
      </c>
      <c r="H264" t="str">
        <f>_xlfn.IFNA(_xlfn.XLOOKUP(Rezultati[[#This Row],[Vpisna]], Izpit2[Vpisna],Izpit2[Skupaj]), "")</f>
        <v/>
      </c>
      <c r="I264" t="str">
        <f>_xlfn.IFNA(_xlfn.XLOOKUP(Rezultati[[#This Row],[Vpisna]], Izpit2[Vpisna],Izpit2[Računalnik]), "")</f>
        <v/>
      </c>
      <c r="J264" s="12" t="b">
        <v>0</v>
      </c>
      <c r="K264" t="str">
        <f>_xlfn.IFNA(_xlfn.XLOOKUP(Rezultati[[#This Row],[Vpisna]], Izpit3[Vpisna],Izpit3[Skupaj]), "")</f>
        <v/>
      </c>
      <c r="L264" s="12" t="b">
        <v>0</v>
      </c>
      <c r="M264">
        <f>MAX(Rezultati[[#This Row],[1.izpit]],Rezultati[[#This Row],[2.izpit]],Rezultati[[#This Row],[3.izpit]])</f>
        <v>0</v>
      </c>
      <c r="N264"/>
      <c r="O264">
        <f>Rezultati[[#This Row],[DN]]+Rezultati[[#This Row],[Max]]+Rezultati[[#This Row],[Bonus]]</f>
        <v>0</v>
      </c>
      <c r="P264" t="str" cm="1">
        <f t="array" ref="P264">_xlfn.XLOOKUP(Rezultati[[#This Row],[Skupaj]],_xlfn.XLOOKUP(Rezultati[[#This Row],[Program]],Kriterij[[#Headers],[APF]:[PED]],Kriterij[[APF]:[PED]]), Kriterij[Ocena], "", -1, 2)</f>
        <v/>
      </c>
    </row>
    <row r="265" spans="2:16" x14ac:dyDescent="0.2">
      <c r="B265">
        <v>27000263</v>
      </c>
      <c r="C265" t="s">
        <v>12</v>
      </c>
      <c r="D265">
        <f>_xlfn.IFNA(_xlfn.XLOOKUP(Rezultati[[#This Row],[Vpisna]], DomaceNaloge[Vpisna],DomaceNaloge[Skupaj]), 0)</f>
        <v>4</v>
      </c>
      <c r="E265" t="str">
        <f>_xlfn.IFNA(_xlfn.XLOOKUP(Rezultati[[#This Row],[Vpisna]], Izpit1[Vpisna],Izpit1[Skupaj]), "")</f>
        <v/>
      </c>
      <c r="F265" t="str">
        <f>_xlfn.IFNA(_xlfn.XLOOKUP(Rezultati[[#This Row],[Vpisna]], Izpit1[Vpisna],Izpit1[Računalnik]), "")</f>
        <v/>
      </c>
      <c r="G265" s="12" t="b">
        <v>0</v>
      </c>
      <c r="H265" t="str">
        <f>_xlfn.IFNA(_xlfn.XLOOKUP(Rezultati[[#This Row],[Vpisna]], Izpit2[Vpisna],Izpit2[Skupaj]), "")</f>
        <v/>
      </c>
      <c r="I265" t="str">
        <f>_xlfn.IFNA(_xlfn.XLOOKUP(Rezultati[[#This Row],[Vpisna]], Izpit2[Vpisna],Izpit2[Računalnik]), "")</f>
        <v/>
      </c>
      <c r="J265" s="12" t="b">
        <v>0</v>
      </c>
      <c r="K265" t="str">
        <f>_xlfn.IFNA(_xlfn.XLOOKUP(Rezultati[[#This Row],[Vpisna]], Izpit3[Vpisna],Izpit3[Skupaj]), "")</f>
        <v/>
      </c>
      <c r="L265" s="12" t="b">
        <v>0</v>
      </c>
      <c r="M265">
        <f>MAX(Rezultati[[#This Row],[1.izpit]],Rezultati[[#This Row],[2.izpit]],Rezultati[[#This Row],[3.izpit]])</f>
        <v>0</v>
      </c>
      <c r="N265"/>
      <c r="O265">
        <f>Rezultati[[#This Row],[DN]]+Rezultati[[#This Row],[Max]]+Rezultati[[#This Row],[Bonus]]</f>
        <v>4</v>
      </c>
      <c r="P265" cm="1">
        <f t="array" ref="P265">_xlfn.XLOOKUP(Rezultati[[#This Row],[Skupaj]],_xlfn.XLOOKUP(Rezultati[[#This Row],[Program]],Kriterij[[#Headers],[APF]:[PED]],Kriterij[[APF]:[PED]]), Kriterij[Ocena], "", -1, 2)</f>
        <v>5</v>
      </c>
    </row>
    <row r="266" spans="2:16" x14ac:dyDescent="0.2">
      <c r="B266">
        <v>27000264</v>
      </c>
      <c r="C266" t="s">
        <v>12</v>
      </c>
      <c r="D266">
        <f>_xlfn.IFNA(_xlfn.XLOOKUP(Rezultati[[#This Row],[Vpisna]], DomaceNaloge[Vpisna],DomaceNaloge[Skupaj]), 0)</f>
        <v>0</v>
      </c>
      <c r="E266" t="str">
        <f>_xlfn.IFNA(_xlfn.XLOOKUP(Rezultati[[#This Row],[Vpisna]], Izpit1[Vpisna],Izpit1[Skupaj]), "")</f>
        <v/>
      </c>
      <c r="F266" t="str">
        <f>_xlfn.IFNA(_xlfn.XLOOKUP(Rezultati[[#This Row],[Vpisna]], Izpit1[Vpisna],Izpit1[Računalnik]), "")</f>
        <v/>
      </c>
      <c r="G266" s="12" t="b">
        <v>0</v>
      </c>
      <c r="H266" t="str">
        <f>_xlfn.IFNA(_xlfn.XLOOKUP(Rezultati[[#This Row],[Vpisna]], Izpit2[Vpisna],Izpit2[Skupaj]), "")</f>
        <v/>
      </c>
      <c r="I266" t="str">
        <f>_xlfn.IFNA(_xlfn.XLOOKUP(Rezultati[[#This Row],[Vpisna]], Izpit2[Vpisna],Izpit2[Računalnik]), "")</f>
        <v/>
      </c>
      <c r="J266" s="12" t="b">
        <v>0</v>
      </c>
      <c r="K266">
        <f>_xlfn.IFNA(_xlfn.XLOOKUP(Rezultati[[#This Row],[Vpisna]], Izpit3[Vpisna],Izpit3[Skupaj]), "")</f>
        <v>78</v>
      </c>
      <c r="L266" s="12" t="b">
        <v>1</v>
      </c>
      <c r="M266">
        <f>MAX(Rezultati[[#This Row],[1.izpit]],Rezultati[[#This Row],[2.izpit]],Rezultati[[#This Row],[3.izpit]])</f>
        <v>78</v>
      </c>
      <c r="N266"/>
      <c r="O266">
        <f>Rezultati[[#This Row],[DN]]+Rezultati[[#This Row],[Max]]+Rezultati[[#This Row],[Bonus]]</f>
        <v>78</v>
      </c>
      <c r="P266" cm="1">
        <f t="array" ref="P266">_xlfn.XLOOKUP(Rezultati[[#This Row],[Skupaj]],_xlfn.XLOOKUP(Rezultati[[#This Row],[Program]],Kriterij[[#Headers],[APF]:[PED]],Kriterij[[APF]:[PED]]), Kriterij[Ocena], "", -1, 2)</f>
        <v>8</v>
      </c>
    </row>
    <row r="267" spans="2:16" x14ac:dyDescent="0.2">
      <c r="B267">
        <v>27000265</v>
      </c>
      <c r="C267" t="s">
        <v>12</v>
      </c>
      <c r="D267">
        <f>_xlfn.IFNA(_xlfn.XLOOKUP(Rezultati[[#This Row],[Vpisna]], DomaceNaloge[Vpisna],DomaceNaloge[Skupaj]), 0)</f>
        <v>0</v>
      </c>
      <c r="E267" t="str">
        <f>_xlfn.IFNA(_xlfn.XLOOKUP(Rezultati[[#This Row],[Vpisna]], Izpit1[Vpisna],Izpit1[Skupaj]), "")</f>
        <v/>
      </c>
      <c r="F267" t="str">
        <f>_xlfn.IFNA(_xlfn.XLOOKUP(Rezultati[[#This Row],[Vpisna]], Izpit1[Vpisna],Izpit1[Računalnik]), "")</f>
        <v/>
      </c>
      <c r="G267" s="12" t="b">
        <v>0</v>
      </c>
      <c r="H267" t="str">
        <f>_xlfn.IFNA(_xlfn.XLOOKUP(Rezultati[[#This Row],[Vpisna]], Izpit2[Vpisna],Izpit2[Skupaj]), "")</f>
        <v/>
      </c>
      <c r="I267" t="str">
        <f>_xlfn.IFNA(_xlfn.XLOOKUP(Rezultati[[#This Row],[Vpisna]], Izpit2[Vpisna],Izpit2[Računalnik]), "")</f>
        <v/>
      </c>
      <c r="J267" s="12" t="b">
        <v>0</v>
      </c>
      <c r="K267" t="str">
        <f>_xlfn.IFNA(_xlfn.XLOOKUP(Rezultati[[#This Row],[Vpisna]], Izpit3[Vpisna],Izpit3[Skupaj]), "")</f>
        <v/>
      </c>
      <c r="L267" s="12" t="b">
        <v>0</v>
      </c>
      <c r="M267">
        <f>MAX(Rezultati[[#This Row],[1.izpit]],Rezultati[[#This Row],[2.izpit]],Rezultati[[#This Row],[3.izpit]])</f>
        <v>0</v>
      </c>
      <c r="N267"/>
      <c r="O267">
        <f>Rezultati[[#This Row],[DN]]+Rezultati[[#This Row],[Max]]+Rezultati[[#This Row],[Bonus]]</f>
        <v>0</v>
      </c>
      <c r="P267" t="str" cm="1">
        <f t="array" ref="P267">_xlfn.XLOOKUP(Rezultati[[#This Row],[Skupaj]],_xlfn.XLOOKUP(Rezultati[[#This Row],[Program]],Kriterij[[#Headers],[APF]:[PED]],Kriterij[[APF]:[PED]]), Kriterij[Ocena], "", -1, 2)</f>
        <v/>
      </c>
    </row>
    <row r="268" spans="2:16" x14ac:dyDescent="0.2">
      <c r="B268">
        <v>27000266</v>
      </c>
      <c r="C268" t="s">
        <v>12</v>
      </c>
      <c r="D268">
        <f>_xlfn.IFNA(_xlfn.XLOOKUP(Rezultati[[#This Row],[Vpisna]], DomaceNaloge[Vpisna],DomaceNaloge[Skupaj]), 0)</f>
        <v>0</v>
      </c>
      <c r="E268" t="str">
        <f>_xlfn.IFNA(_xlfn.XLOOKUP(Rezultati[[#This Row],[Vpisna]], Izpit1[Vpisna],Izpit1[Skupaj]), "")</f>
        <v/>
      </c>
      <c r="F268" t="str">
        <f>_xlfn.IFNA(_xlfn.XLOOKUP(Rezultati[[#This Row],[Vpisna]], Izpit1[Vpisna],Izpit1[Računalnik]), "")</f>
        <v/>
      </c>
      <c r="G268" s="12" t="b">
        <v>0</v>
      </c>
      <c r="H268" t="str">
        <f>_xlfn.IFNA(_xlfn.XLOOKUP(Rezultati[[#This Row],[Vpisna]], Izpit2[Vpisna],Izpit2[Skupaj]), "")</f>
        <v/>
      </c>
      <c r="I268" t="str">
        <f>_xlfn.IFNA(_xlfn.XLOOKUP(Rezultati[[#This Row],[Vpisna]], Izpit2[Vpisna],Izpit2[Računalnik]), "")</f>
        <v/>
      </c>
      <c r="J268" s="12" t="b">
        <v>0</v>
      </c>
      <c r="K268" t="str">
        <f>_xlfn.IFNA(_xlfn.XLOOKUP(Rezultati[[#This Row],[Vpisna]], Izpit3[Vpisna],Izpit3[Skupaj]), "")</f>
        <v/>
      </c>
      <c r="L268" s="12" t="b">
        <v>0</v>
      </c>
      <c r="M268">
        <f>MAX(Rezultati[[#This Row],[1.izpit]],Rezultati[[#This Row],[2.izpit]],Rezultati[[#This Row],[3.izpit]])</f>
        <v>0</v>
      </c>
      <c r="N268"/>
      <c r="O268">
        <f>Rezultati[[#This Row],[DN]]+Rezultati[[#This Row],[Max]]+Rezultati[[#This Row],[Bonus]]</f>
        <v>0</v>
      </c>
      <c r="P268" t="str" cm="1">
        <f t="array" ref="P268">_xlfn.XLOOKUP(Rezultati[[#This Row],[Skupaj]],_xlfn.XLOOKUP(Rezultati[[#This Row],[Program]],Kriterij[[#Headers],[APF]:[PED]],Kriterij[[APF]:[PED]]), Kriterij[Ocena], "", -1, 2)</f>
        <v/>
      </c>
    </row>
    <row r="269" spans="2:16" x14ac:dyDescent="0.2">
      <c r="B269">
        <v>27000267</v>
      </c>
      <c r="C269" t="s">
        <v>12</v>
      </c>
      <c r="D269">
        <f>_xlfn.IFNA(_xlfn.XLOOKUP(Rezultati[[#This Row],[Vpisna]], DomaceNaloge[Vpisna],DomaceNaloge[Skupaj]), 0)</f>
        <v>0</v>
      </c>
      <c r="E269" t="str">
        <f>_xlfn.IFNA(_xlfn.XLOOKUP(Rezultati[[#This Row],[Vpisna]], Izpit1[Vpisna],Izpit1[Skupaj]), "")</f>
        <v/>
      </c>
      <c r="F269" t="str">
        <f>_xlfn.IFNA(_xlfn.XLOOKUP(Rezultati[[#This Row],[Vpisna]], Izpit1[Vpisna],Izpit1[Računalnik]), "")</f>
        <v/>
      </c>
      <c r="G269" s="12" t="b">
        <v>0</v>
      </c>
      <c r="H269" t="str">
        <f>_xlfn.IFNA(_xlfn.XLOOKUP(Rezultati[[#This Row],[Vpisna]], Izpit2[Vpisna],Izpit2[Skupaj]), "")</f>
        <v/>
      </c>
      <c r="I269" t="str">
        <f>_xlfn.IFNA(_xlfn.XLOOKUP(Rezultati[[#This Row],[Vpisna]], Izpit2[Vpisna],Izpit2[Računalnik]), "")</f>
        <v/>
      </c>
      <c r="J269" s="12" t="b">
        <v>0</v>
      </c>
      <c r="K269" t="str">
        <f>_xlfn.IFNA(_xlfn.XLOOKUP(Rezultati[[#This Row],[Vpisna]], Izpit3[Vpisna],Izpit3[Skupaj]), "")</f>
        <v/>
      </c>
      <c r="L269" s="12" t="b">
        <v>0</v>
      </c>
      <c r="M269">
        <f>MAX(Rezultati[[#This Row],[1.izpit]],Rezultati[[#This Row],[2.izpit]],Rezultati[[#This Row],[3.izpit]])</f>
        <v>0</v>
      </c>
      <c r="N269"/>
      <c r="O269">
        <f>Rezultati[[#This Row],[DN]]+Rezultati[[#This Row],[Max]]+Rezultati[[#This Row],[Bonus]]</f>
        <v>0</v>
      </c>
      <c r="P269" t="str" cm="1">
        <f t="array" ref="P269">_xlfn.XLOOKUP(Rezultati[[#This Row],[Skupaj]],_xlfn.XLOOKUP(Rezultati[[#This Row],[Program]],Kriterij[[#Headers],[APF]:[PED]],Kriterij[[APF]:[PED]]), Kriterij[Ocena], "", -1, 2)</f>
        <v/>
      </c>
    </row>
    <row r="270" spans="2:16" x14ac:dyDescent="0.2">
      <c r="B270">
        <v>27000268</v>
      </c>
      <c r="C270" t="s">
        <v>12</v>
      </c>
      <c r="D270">
        <f>_xlfn.IFNA(_xlfn.XLOOKUP(Rezultati[[#This Row],[Vpisna]], DomaceNaloge[Vpisna],DomaceNaloge[Skupaj]), 0)</f>
        <v>8</v>
      </c>
      <c r="E270">
        <f>_xlfn.IFNA(_xlfn.XLOOKUP(Rezultati[[#This Row],[Vpisna]], Izpit1[Vpisna],Izpit1[Skupaj]), "")</f>
        <v>67</v>
      </c>
      <c r="F270" t="str">
        <f>_xlfn.IFNA(_xlfn.XLOOKUP(Rezultati[[#This Row],[Vpisna]], Izpit1[Vpisna],Izpit1[Računalnik]), "")</f>
        <v>šolski</v>
      </c>
      <c r="G270" s="12" t="b">
        <v>1</v>
      </c>
      <c r="H270" t="str">
        <f>_xlfn.IFNA(_xlfn.XLOOKUP(Rezultati[[#This Row],[Vpisna]], Izpit2[Vpisna],Izpit2[Skupaj]), "")</f>
        <v/>
      </c>
      <c r="I270" t="str">
        <f>_xlfn.IFNA(_xlfn.XLOOKUP(Rezultati[[#This Row],[Vpisna]], Izpit2[Vpisna],Izpit2[Računalnik]), "")</f>
        <v/>
      </c>
      <c r="J270" s="12" t="b">
        <v>0</v>
      </c>
      <c r="K270" t="str">
        <f>_xlfn.IFNA(_xlfn.XLOOKUP(Rezultati[[#This Row],[Vpisna]], Izpit3[Vpisna],Izpit3[Skupaj]), "")</f>
        <v/>
      </c>
      <c r="L270" s="12" t="b">
        <v>0</v>
      </c>
      <c r="M270">
        <f>MAX(Rezultati[[#This Row],[1.izpit]],Rezultati[[#This Row],[2.izpit]],Rezultati[[#This Row],[3.izpit]])</f>
        <v>67</v>
      </c>
      <c r="N270"/>
      <c r="O270">
        <f>Rezultati[[#This Row],[DN]]+Rezultati[[#This Row],[Max]]+Rezultati[[#This Row],[Bonus]]</f>
        <v>75</v>
      </c>
      <c r="P270" cm="1">
        <f t="array" ref="P270">_xlfn.XLOOKUP(Rezultati[[#This Row],[Skupaj]],_xlfn.XLOOKUP(Rezultati[[#This Row],[Program]],Kriterij[[#Headers],[APF]:[PED]],Kriterij[[APF]:[PED]]), Kriterij[Ocena], "", -1, 2)</f>
        <v>8</v>
      </c>
    </row>
    <row r="271" spans="2:16" x14ac:dyDescent="0.2">
      <c r="B271">
        <v>27000269</v>
      </c>
      <c r="C271" t="s">
        <v>12</v>
      </c>
      <c r="D271">
        <f>_xlfn.IFNA(_xlfn.XLOOKUP(Rezultati[[#This Row],[Vpisna]], DomaceNaloge[Vpisna],DomaceNaloge[Skupaj]), 0)</f>
        <v>0</v>
      </c>
      <c r="E271" t="str">
        <f>_xlfn.IFNA(_xlfn.XLOOKUP(Rezultati[[#This Row],[Vpisna]], Izpit1[Vpisna],Izpit1[Skupaj]), "")</f>
        <v/>
      </c>
      <c r="F271" t="str">
        <f>_xlfn.IFNA(_xlfn.XLOOKUP(Rezultati[[#This Row],[Vpisna]], Izpit1[Vpisna],Izpit1[Računalnik]), "")</f>
        <v/>
      </c>
      <c r="G271" s="12" t="b">
        <v>0</v>
      </c>
      <c r="H271" t="str">
        <f>_xlfn.IFNA(_xlfn.XLOOKUP(Rezultati[[#This Row],[Vpisna]], Izpit2[Vpisna],Izpit2[Skupaj]), "")</f>
        <v/>
      </c>
      <c r="I271" t="str">
        <f>_xlfn.IFNA(_xlfn.XLOOKUP(Rezultati[[#This Row],[Vpisna]], Izpit2[Vpisna],Izpit2[Računalnik]), "")</f>
        <v/>
      </c>
      <c r="J271" s="12" t="b">
        <v>0</v>
      </c>
      <c r="K271" t="str">
        <f>_xlfn.IFNA(_xlfn.XLOOKUP(Rezultati[[#This Row],[Vpisna]], Izpit3[Vpisna],Izpit3[Skupaj]), "")</f>
        <v/>
      </c>
      <c r="L271" s="12" t="b">
        <v>0</v>
      </c>
      <c r="M271">
        <f>MAX(Rezultati[[#This Row],[1.izpit]],Rezultati[[#This Row],[2.izpit]],Rezultati[[#This Row],[3.izpit]])</f>
        <v>0</v>
      </c>
      <c r="N271"/>
      <c r="O271">
        <f>Rezultati[[#This Row],[DN]]+Rezultati[[#This Row],[Max]]+Rezultati[[#This Row],[Bonus]]</f>
        <v>0</v>
      </c>
      <c r="P271" t="str" cm="1">
        <f t="array" ref="P271">_xlfn.XLOOKUP(Rezultati[[#This Row],[Skupaj]],_xlfn.XLOOKUP(Rezultati[[#This Row],[Program]],Kriterij[[#Headers],[APF]:[PED]],Kriterij[[APF]:[PED]]), Kriterij[Ocena], "", -1, 2)</f>
        <v/>
      </c>
    </row>
    <row r="272" spans="2:16" x14ac:dyDescent="0.2">
      <c r="B272">
        <v>27000270</v>
      </c>
      <c r="C272" t="s">
        <v>12</v>
      </c>
      <c r="D272">
        <f>_xlfn.IFNA(_xlfn.XLOOKUP(Rezultati[[#This Row],[Vpisna]], DomaceNaloge[Vpisna],DomaceNaloge[Skupaj]), 0)</f>
        <v>9</v>
      </c>
      <c r="E272">
        <f>_xlfn.IFNA(_xlfn.XLOOKUP(Rezultati[[#This Row],[Vpisna]], Izpit1[Vpisna],Izpit1[Skupaj]), "")</f>
        <v>95</v>
      </c>
      <c r="F272" t="str">
        <f>_xlfn.IFNA(_xlfn.XLOOKUP(Rezultati[[#This Row],[Vpisna]], Izpit1[Vpisna],Izpit1[Računalnik]), "")</f>
        <v>svoj</v>
      </c>
      <c r="G272" s="12" t="b">
        <v>1</v>
      </c>
      <c r="H272" t="str">
        <f>_xlfn.IFNA(_xlfn.XLOOKUP(Rezultati[[#This Row],[Vpisna]], Izpit2[Vpisna],Izpit2[Skupaj]), "")</f>
        <v/>
      </c>
      <c r="I272" t="str">
        <f>_xlfn.IFNA(_xlfn.XLOOKUP(Rezultati[[#This Row],[Vpisna]], Izpit2[Vpisna],Izpit2[Računalnik]), "")</f>
        <v/>
      </c>
      <c r="J272" s="12" t="b">
        <v>0</v>
      </c>
      <c r="K272" t="str">
        <f>_xlfn.IFNA(_xlfn.XLOOKUP(Rezultati[[#This Row],[Vpisna]], Izpit3[Vpisna],Izpit3[Skupaj]), "")</f>
        <v/>
      </c>
      <c r="L272" s="12" t="b">
        <v>0</v>
      </c>
      <c r="M272">
        <f>MAX(Rezultati[[#This Row],[1.izpit]],Rezultati[[#This Row],[2.izpit]],Rezultati[[#This Row],[3.izpit]])</f>
        <v>95</v>
      </c>
      <c r="N272"/>
      <c r="O272">
        <f>Rezultati[[#This Row],[DN]]+Rezultati[[#This Row],[Max]]+Rezultati[[#This Row],[Bonus]]</f>
        <v>104</v>
      </c>
      <c r="P272" cm="1">
        <f t="array" ref="P272">_xlfn.XLOOKUP(Rezultati[[#This Row],[Skupaj]],_xlfn.XLOOKUP(Rezultati[[#This Row],[Program]],Kriterij[[#Headers],[APF]:[PED]],Kriterij[[APF]:[PED]]), Kriterij[Ocena], "", -1, 2)</f>
        <v>10</v>
      </c>
    </row>
    <row r="273" spans="2:16" x14ac:dyDescent="0.2">
      <c r="B273">
        <v>27000271</v>
      </c>
      <c r="C273" t="s">
        <v>12</v>
      </c>
      <c r="D273">
        <f>_xlfn.IFNA(_xlfn.XLOOKUP(Rezultati[[#This Row],[Vpisna]], DomaceNaloge[Vpisna],DomaceNaloge[Skupaj]), 0)</f>
        <v>4</v>
      </c>
      <c r="E273" t="str">
        <f>_xlfn.IFNA(_xlfn.XLOOKUP(Rezultati[[#This Row],[Vpisna]], Izpit1[Vpisna],Izpit1[Skupaj]), "")</f>
        <v/>
      </c>
      <c r="F273" t="str">
        <f>_xlfn.IFNA(_xlfn.XLOOKUP(Rezultati[[#This Row],[Vpisna]], Izpit1[Vpisna],Izpit1[Računalnik]), "")</f>
        <v/>
      </c>
      <c r="G273" s="12" t="b">
        <v>0</v>
      </c>
      <c r="H273" t="str">
        <f>_xlfn.IFNA(_xlfn.XLOOKUP(Rezultati[[#This Row],[Vpisna]], Izpit2[Vpisna],Izpit2[Skupaj]), "")</f>
        <v/>
      </c>
      <c r="I273" t="str">
        <f>_xlfn.IFNA(_xlfn.XLOOKUP(Rezultati[[#This Row],[Vpisna]], Izpit2[Vpisna],Izpit2[Računalnik]), "")</f>
        <v/>
      </c>
      <c r="J273" s="12" t="b">
        <v>0</v>
      </c>
      <c r="K273" t="str">
        <f>_xlfn.IFNA(_xlfn.XLOOKUP(Rezultati[[#This Row],[Vpisna]], Izpit3[Vpisna],Izpit3[Skupaj]), "")</f>
        <v/>
      </c>
      <c r="L273" s="12" t="b">
        <v>0</v>
      </c>
      <c r="M273">
        <f>MAX(Rezultati[[#This Row],[1.izpit]],Rezultati[[#This Row],[2.izpit]],Rezultati[[#This Row],[3.izpit]])</f>
        <v>0</v>
      </c>
      <c r="N273"/>
      <c r="O273">
        <f>Rezultati[[#This Row],[DN]]+Rezultati[[#This Row],[Max]]+Rezultati[[#This Row],[Bonus]]</f>
        <v>4</v>
      </c>
      <c r="P273" cm="1">
        <f t="array" ref="P273">_xlfn.XLOOKUP(Rezultati[[#This Row],[Skupaj]],_xlfn.XLOOKUP(Rezultati[[#This Row],[Program]],Kriterij[[#Headers],[APF]:[PED]],Kriterij[[APF]:[PED]]), Kriterij[Ocena], "", -1, 2)</f>
        <v>5</v>
      </c>
    </row>
    <row r="274" spans="2:16" x14ac:dyDescent="0.2">
      <c r="B274">
        <v>27000272</v>
      </c>
      <c r="C274" t="s">
        <v>9</v>
      </c>
      <c r="D274">
        <f>_xlfn.IFNA(_xlfn.XLOOKUP(Rezultati[[#This Row],[Vpisna]], DomaceNaloge[Vpisna],DomaceNaloge[Skupaj]), 0)</f>
        <v>6</v>
      </c>
      <c r="E274">
        <f>_xlfn.IFNA(_xlfn.XLOOKUP(Rezultati[[#This Row],[Vpisna]], Izpit1[Vpisna],Izpit1[Skupaj]), "")</f>
        <v>40</v>
      </c>
      <c r="F274" t="str">
        <f>_xlfn.IFNA(_xlfn.XLOOKUP(Rezultati[[#This Row],[Vpisna]], Izpit1[Vpisna],Izpit1[Računalnik]), "")</f>
        <v>šolski</v>
      </c>
      <c r="G274" s="12" t="b">
        <v>1</v>
      </c>
      <c r="H274" t="str">
        <f>_xlfn.IFNA(_xlfn.XLOOKUP(Rezultati[[#This Row],[Vpisna]], Izpit2[Vpisna],Izpit2[Skupaj]), "")</f>
        <v/>
      </c>
      <c r="I274" t="str">
        <f>_xlfn.IFNA(_xlfn.XLOOKUP(Rezultati[[#This Row],[Vpisna]], Izpit2[Vpisna],Izpit2[Računalnik]), "")</f>
        <v/>
      </c>
      <c r="J274" s="12" t="b">
        <v>0</v>
      </c>
      <c r="K274">
        <f>_xlfn.IFNA(_xlfn.XLOOKUP(Rezultati[[#This Row],[Vpisna]], Izpit3[Vpisna],Izpit3[Skupaj]), "")</f>
        <v>49</v>
      </c>
      <c r="L274" s="12" t="b">
        <v>1</v>
      </c>
      <c r="M274">
        <f>MAX(Rezultati[[#This Row],[1.izpit]],Rezultati[[#This Row],[2.izpit]],Rezultati[[#This Row],[3.izpit]])</f>
        <v>49</v>
      </c>
      <c r="N274"/>
      <c r="O274">
        <f>Rezultati[[#This Row],[DN]]+Rezultati[[#This Row],[Max]]+Rezultati[[#This Row],[Bonus]]</f>
        <v>55</v>
      </c>
      <c r="P274" cm="1">
        <f t="array" ref="P274">_xlfn.XLOOKUP(Rezultati[[#This Row],[Skupaj]],_xlfn.XLOOKUP(Rezultati[[#This Row],[Program]],Kriterij[[#Headers],[APF]:[PED]],Kriterij[[APF]:[PED]]), Kriterij[Ocena], "", -1, 2)</f>
        <v>6</v>
      </c>
    </row>
    <row r="275" spans="2:16" x14ac:dyDescent="0.2">
      <c r="B275">
        <v>27000273</v>
      </c>
      <c r="C275" t="s">
        <v>12</v>
      </c>
      <c r="D275">
        <f>_xlfn.IFNA(_xlfn.XLOOKUP(Rezultati[[#This Row],[Vpisna]], DomaceNaloge[Vpisna],DomaceNaloge[Skupaj]), 0)</f>
        <v>0</v>
      </c>
      <c r="E275" t="str">
        <f>_xlfn.IFNA(_xlfn.XLOOKUP(Rezultati[[#This Row],[Vpisna]], Izpit1[Vpisna],Izpit1[Skupaj]), "")</f>
        <v/>
      </c>
      <c r="F275" t="str">
        <f>_xlfn.IFNA(_xlfn.XLOOKUP(Rezultati[[#This Row],[Vpisna]], Izpit1[Vpisna],Izpit1[Računalnik]), "")</f>
        <v/>
      </c>
      <c r="G275" s="12" t="b">
        <v>0</v>
      </c>
      <c r="H275" t="str">
        <f>_xlfn.IFNA(_xlfn.XLOOKUP(Rezultati[[#This Row],[Vpisna]], Izpit2[Vpisna],Izpit2[Skupaj]), "")</f>
        <v/>
      </c>
      <c r="I275" t="str">
        <f>_xlfn.IFNA(_xlfn.XLOOKUP(Rezultati[[#This Row],[Vpisna]], Izpit2[Vpisna],Izpit2[Računalnik]), "")</f>
        <v/>
      </c>
      <c r="J275" s="12" t="b">
        <v>0</v>
      </c>
      <c r="K275" t="str">
        <f>_xlfn.IFNA(_xlfn.XLOOKUP(Rezultati[[#This Row],[Vpisna]], Izpit3[Vpisna],Izpit3[Skupaj]), "")</f>
        <v/>
      </c>
      <c r="L275" s="12" t="b">
        <v>0</v>
      </c>
      <c r="M275">
        <f>MAX(Rezultati[[#This Row],[1.izpit]],Rezultati[[#This Row],[2.izpit]],Rezultati[[#This Row],[3.izpit]])</f>
        <v>0</v>
      </c>
      <c r="N275"/>
      <c r="O275">
        <f>Rezultati[[#This Row],[DN]]+Rezultati[[#This Row],[Max]]+Rezultati[[#This Row],[Bonus]]</f>
        <v>0</v>
      </c>
      <c r="P275" t="str" cm="1">
        <f t="array" ref="P275">_xlfn.XLOOKUP(Rezultati[[#This Row],[Skupaj]],_xlfn.XLOOKUP(Rezultati[[#This Row],[Program]],Kriterij[[#Headers],[APF]:[PED]],Kriterij[[APF]:[PED]]), Kriterij[Ocena], "", -1, 2)</f>
        <v/>
      </c>
    </row>
    <row r="276" spans="2:16" x14ac:dyDescent="0.2">
      <c r="B276">
        <v>27000274</v>
      </c>
      <c r="C276" t="s">
        <v>12</v>
      </c>
      <c r="D276">
        <f>_xlfn.IFNA(_xlfn.XLOOKUP(Rezultati[[#This Row],[Vpisna]], DomaceNaloge[Vpisna],DomaceNaloge[Skupaj]), 0)</f>
        <v>8</v>
      </c>
      <c r="E276">
        <f>_xlfn.IFNA(_xlfn.XLOOKUP(Rezultati[[#This Row],[Vpisna]], Izpit1[Vpisna],Izpit1[Skupaj]), "")</f>
        <v>60</v>
      </c>
      <c r="F276" t="str">
        <f>_xlfn.IFNA(_xlfn.XLOOKUP(Rezultati[[#This Row],[Vpisna]], Izpit1[Vpisna],Izpit1[Računalnik]), "")</f>
        <v>šolski</v>
      </c>
      <c r="G276" s="12" t="b">
        <v>1</v>
      </c>
      <c r="H276" t="str">
        <f>_xlfn.IFNA(_xlfn.XLOOKUP(Rezultati[[#This Row],[Vpisna]], Izpit2[Vpisna],Izpit2[Skupaj]), "")</f>
        <v/>
      </c>
      <c r="I276" t="str">
        <f>_xlfn.IFNA(_xlfn.XLOOKUP(Rezultati[[#This Row],[Vpisna]], Izpit2[Vpisna],Izpit2[Računalnik]), "")</f>
        <v/>
      </c>
      <c r="J276" s="12" t="b">
        <v>0</v>
      </c>
      <c r="K276" t="str">
        <f>_xlfn.IFNA(_xlfn.XLOOKUP(Rezultati[[#This Row],[Vpisna]], Izpit3[Vpisna],Izpit3[Skupaj]), "")</f>
        <v/>
      </c>
      <c r="L276" s="12" t="b">
        <v>0</v>
      </c>
      <c r="M276">
        <f>MAX(Rezultati[[#This Row],[1.izpit]],Rezultati[[#This Row],[2.izpit]],Rezultati[[#This Row],[3.izpit]])</f>
        <v>60</v>
      </c>
      <c r="N276"/>
      <c r="O276">
        <f>Rezultati[[#This Row],[DN]]+Rezultati[[#This Row],[Max]]+Rezultati[[#This Row],[Bonus]]</f>
        <v>68</v>
      </c>
      <c r="P276" cm="1">
        <f t="array" ref="P276">_xlfn.XLOOKUP(Rezultati[[#This Row],[Skupaj]],_xlfn.XLOOKUP(Rezultati[[#This Row],[Program]],Kriterij[[#Headers],[APF]:[PED]],Kriterij[[APF]:[PED]]), Kriterij[Ocena], "", -1, 2)</f>
        <v>7</v>
      </c>
    </row>
    <row r="277" spans="2:16" x14ac:dyDescent="0.2">
      <c r="B277">
        <v>27000275</v>
      </c>
      <c r="C277" t="s">
        <v>12</v>
      </c>
      <c r="D277">
        <f>_xlfn.IFNA(_xlfn.XLOOKUP(Rezultati[[#This Row],[Vpisna]], DomaceNaloge[Vpisna],DomaceNaloge[Skupaj]), 0)</f>
        <v>0</v>
      </c>
      <c r="E277" t="str">
        <f>_xlfn.IFNA(_xlfn.XLOOKUP(Rezultati[[#This Row],[Vpisna]], Izpit1[Vpisna],Izpit1[Skupaj]), "")</f>
        <v/>
      </c>
      <c r="F277" t="str">
        <f>_xlfn.IFNA(_xlfn.XLOOKUP(Rezultati[[#This Row],[Vpisna]], Izpit1[Vpisna],Izpit1[Računalnik]), "")</f>
        <v/>
      </c>
      <c r="G277" s="12" t="b">
        <v>0</v>
      </c>
      <c r="H277" t="str">
        <f>_xlfn.IFNA(_xlfn.XLOOKUP(Rezultati[[#This Row],[Vpisna]], Izpit2[Vpisna],Izpit2[Skupaj]), "")</f>
        <v/>
      </c>
      <c r="I277" t="str">
        <f>_xlfn.IFNA(_xlfn.XLOOKUP(Rezultati[[#This Row],[Vpisna]], Izpit2[Vpisna],Izpit2[Računalnik]), "")</f>
        <v/>
      </c>
      <c r="J277" s="12" t="b">
        <v>0</v>
      </c>
      <c r="K277" t="str">
        <f>_xlfn.IFNA(_xlfn.XLOOKUP(Rezultati[[#This Row],[Vpisna]], Izpit3[Vpisna],Izpit3[Skupaj]), "")</f>
        <v/>
      </c>
      <c r="L277" s="12" t="b">
        <v>0</v>
      </c>
      <c r="M277">
        <f>MAX(Rezultati[[#This Row],[1.izpit]],Rezultati[[#This Row],[2.izpit]],Rezultati[[#This Row],[3.izpit]])</f>
        <v>0</v>
      </c>
      <c r="N277"/>
      <c r="O277">
        <f>Rezultati[[#This Row],[DN]]+Rezultati[[#This Row],[Max]]+Rezultati[[#This Row],[Bonus]]</f>
        <v>0</v>
      </c>
      <c r="P277" t="str" cm="1">
        <f t="array" ref="P277">_xlfn.XLOOKUP(Rezultati[[#This Row],[Skupaj]],_xlfn.XLOOKUP(Rezultati[[#This Row],[Program]],Kriterij[[#Headers],[APF]:[PED]],Kriterij[[APF]:[PED]]), Kriterij[Ocena], "", -1, 2)</f>
        <v/>
      </c>
    </row>
    <row r="278" spans="2:16" x14ac:dyDescent="0.2">
      <c r="B278">
        <v>27000276</v>
      </c>
      <c r="C278" t="s">
        <v>12</v>
      </c>
      <c r="D278">
        <f>_xlfn.IFNA(_xlfn.XLOOKUP(Rezultati[[#This Row],[Vpisna]], DomaceNaloge[Vpisna],DomaceNaloge[Skupaj]), 0)</f>
        <v>6</v>
      </c>
      <c r="E278">
        <f>_xlfn.IFNA(_xlfn.XLOOKUP(Rezultati[[#This Row],[Vpisna]], Izpit1[Vpisna],Izpit1[Skupaj]), "")</f>
        <v>60</v>
      </c>
      <c r="F278" t="str">
        <f>_xlfn.IFNA(_xlfn.XLOOKUP(Rezultati[[#This Row],[Vpisna]], Izpit1[Vpisna],Izpit1[Računalnik]), "")</f>
        <v>šolski</v>
      </c>
      <c r="G278" s="12" t="b">
        <v>1</v>
      </c>
      <c r="H278" t="str">
        <f>_xlfn.IFNA(_xlfn.XLOOKUP(Rezultati[[#This Row],[Vpisna]], Izpit2[Vpisna],Izpit2[Skupaj]), "")</f>
        <v/>
      </c>
      <c r="I278" t="str">
        <f>_xlfn.IFNA(_xlfn.XLOOKUP(Rezultati[[#This Row],[Vpisna]], Izpit2[Vpisna],Izpit2[Računalnik]), "")</f>
        <v/>
      </c>
      <c r="J278" s="12" t="b">
        <v>0</v>
      </c>
      <c r="K278" t="str">
        <f>_xlfn.IFNA(_xlfn.XLOOKUP(Rezultati[[#This Row],[Vpisna]], Izpit3[Vpisna],Izpit3[Skupaj]), "")</f>
        <v/>
      </c>
      <c r="L278" s="12" t="b">
        <v>0</v>
      </c>
      <c r="M278">
        <f>MAX(Rezultati[[#This Row],[1.izpit]],Rezultati[[#This Row],[2.izpit]],Rezultati[[#This Row],[3.izpit]])</f>
        <v>60</v>
      </c>
      <c r="N278"/>
      <c r="O278">
        <f>Rezultati[[#This Row],[DN]]+Rezultati[[#This Row],[Max]]+Rezultati[[#This Row],[Bonus]]</f>
        <v>66</v>
      </c>
      <c r="P278" cm="1">
        <f t="array" ref="P278">_xlfn.XLOOKUP(Rezultati[[#This Row],[Skupaj]],_xlfn.XLOOKUP(Rezultati[[#This Row],[Program]],Kriterij[[#Headers],[APF]:[PED]],Kriterij[[APF]:[PED]]), Kriterij[Ocena], "", -1, 2)</f>
        <v>7</v>
      </c>
    </row>
    <row r="279" spans="2:16" x14ac:dyDescent="0.2">
      <c r="B279">
        <v>27000277</v>
      </c>
      <c r="C279" t="s">
        <v>12</v>
      </c>
      <c r="D279">
        <f>_xlfn.IFNA(_xlfn.XLOOKUP(Rezultati[[#This Row],[Vpisna]], DomaceNaloge[Vpisna],DomaceNaloge[Skupaj]), 0)</f>
        <v>0</v>
      </c>
      <c r="E279" t="str">
        <f>_xlfn.IFNA(_xlfn.XLOOKUP(Rezultati[[#This Row],[Vpisna]], Izpit1[Vpisna],Izpit1[Skupaj]), "")</f>
        <v/>
      </c>
      <c r="F279" t="str">
        <f>_xlfn.IFNA(_xlfn.XLOOKUP(Rezultati[[#This Row],[Vpisna]], Izpit1[Vpisna],Izpit1[Računalnik]), "")</f>
        <v/>
      </c>
      <c r="G279" s="12" t="b">
        <v>0</v>
      </c>
      <c r="H279" t="str">
        <f>_xlfn.IFNA(_xlfn.XLOOKUP(Rezultati[[#This Row],[Vpisna]], Izpit2[Vpisna],Izpit2[Skupaj]), "")</f>
        <v/>
      </c>
      <c r="I279" t="str">
        <f>_xlfn.IFNA(_xlfn.XLOOKUP(Rezultati[[#This Row],[Vpisna]], Izpit2[Vpisna],Izpit2[Računalnik]), "")</f>
        <v/>
      </c>
      <c r="J279" s="12" t="b">
        <v>0</v>
      </c>
      <c r="K279" t="str">
        <f>_xlfn.IFNA(_xlfn.XLOOKUP(Rezultati[[#This Row],[Vpisna]], Izpit3[Vpisna],Izpit3[Skupaj]), "")</f>
        <v/>
      </c>
      <c r="L279" s="12" t="b">
        <v>0</v>
      </c>
      <c r="M279">
        <f>MAX(Rezultati[[#This Row],[1.izpit]],Rezultati[[#This Row],[2.izpit]],Rezultati[[#This Row],[3.izpit]])</f>
        <v>0</v>
      </c>
      <c r="N279"/>
      <c r="O279">
        <f>Rezultati[[#This Row],[DN]]+Rezultati[[#This Row],[Max]]+Rezultati[[#This Row],[Bonus]]</f>
        <v>0</v>
      </c>
      <c r="P279" t="str" cm="1">
        <f t="array" ref="P279">_xlfn.XLOOKUP(Rezultati[[#This Row],[Skupaj]],_xlfn.XLOOKUP(Rezultati[[#This Row],[Program]],Kriterij[[#Headers],[APF]:[PED]],Kriterij[[APF]:[PED]]), Kriterij[Ocena], "", -1, 2)</f>
        <v/>
      </c>
    </row>
    <row r="280" spans="2:16" x14ac:dyDescent="0.2">
      <c r="B280">
        <v>27000278</v>
      </c>
      <c r="C280" t="s">
        <v>12</v>
      </c>
      <c r="D280">
        <f>_xlfn.IFNA(_xlfn.XLOOKUP(Rezultati[[#This Row],[Vpisna]], DomaceNaloge[Vpisna],DomaceNaloge[Skupaj]), 0)</f>
        <v>9</v>
      </c>
      <c r="E280">
        <f>_xlfn.IFNA(_xlfn.XLOOKUP(Rezultati[[#This Row],[Vpisna]], Izpit1[Vpisna],Izpit1[Skupaj]), "")</f>
        <v>94</v>
      </c>
      <c r="F280" t="str">
        <f>_xlfn.IFNA(_xlfn.XLOOKUP(Rezultati[[#This Row],[Vpisna]], Izpit1[Vpisna],Izpit1[Računalnik]), "")</f>
        <v>šolski</v>
      </c>
      <c r="G280" s="12" t="b">
        <v>1</v>
      </c>
      <c r="H280" t="str">
        <f>_xlfn.IFNA(_xlfn.XLOOKUP(Rezultati[[#This Row],[Vpisna]], Izpit2[Vpisna],Izpit2[Skupaj]), "")</f>
        <v/>
      </c>
      <c r="I280" t="str">
        <f>_xlfn.IFNA(_xlfn.XLOOKUP(Rezultati[[#This Row],[Vpisna]], Izpit2[Vpisna],Izpit2[Računalnik]), "")</f>
        <v/>
      </c>
      <c r="J280" s="12" t="b">
        <v>0</v>
      </c>
      <c r="K280" t="str">
        <f>_xlfn.IFNA(_xlfn.XLOOKUP(Rezultati[[#This Row],[Vpisna]], Izpit3[Vpisna],Izpit3[Skupaj]), "")</f>
        <v/>
      </c>
      <c r="L280" s="12" t="b">
        <v>0</v>
      </c>
      <c r="M280">
        <f>MAX(Rezultati[[#This Row],[1.izpit]],Rezultati[[#This Row],[2.izpit]],Rezultati[[#This Row],[3.izpit]])</f>
        <v>94</v>
      </c>
      <c r="N280"/>
      <c r="O280">
        <f>Rezultati[[#This Row],[DN]]+Rezultati[[#This Row],[Max]]+Rezultati[[#This Row],[Bonus]]</f>
        <v>103</v>
      </c>
      <c r="P280" cm="1">
        <f t="array" ref="P280">_xlfn.XLOOKUP(Rezultati[[#This Row],[Skupaj]],_xlfn.XLOOKUP(Rezultati[[#This Row],[Program]],Kriterij[[#Headers],[APF]:[PED]],Kriterij[[APF]:[PED]]), Kriterij[Ocena], "", -1, 2)</f>
        <v>10</v>
      </c>
    </row>
    <row r="281" spans="2:16" x14ac:dyDescent="0.2">
      <c r="B281">
        <v>27000279</v>
      </c>
      <c r="C281" t="s">
        <v>9</v>
      </c>
      <c r="D281">
        <f>_xlfn.IFNA(_xlfn.XLOOKUP(Rezultati[[#This Row],[Vpisna]], DomaceNaloge[Vpisna],DomaceNaloge[Skupaj]), 0)</f>
        <v>7</v>
      </c>
      <c r="E281" t="str">
        <f>_xlfn.IFNA(_xlfn.XLOOKUP(Rezultati[[#This Row],[Vpisna]], Izpit1[Vpisna],Izpit1[Skupaj]), "")</f>
        <v/>
      </c>
      <c r="F281" t="str">
        <f>_xlfn.IFNA(_xlfn.XLOOKUP(Rezultati[[#This Row],[Vpisna]], Izpit1[Vpisna],Izpit1[Računalnik]), "")</f>
        <v/>
      </c>
      <c r="G281" s="12" t="b">
        <v>0</v>
      </c>
      <c r="H281" t="str">
        <f>_xlfn.IFNA(_xlfn.XLOOKUP(Rezultati[[#This Row],[Vpisna]], Izpit2[Vpisna],Izpit2[Skupaj]), "")</f>
        <v/>
      </c>
      <c r="I281" t="str">
        <f>_xlfn.IFNA(_xlfn.XLOOKUP(Rezultati[[#This Row],[Vpisna]], Izpit2[Vpisna],Izpit2[Računalnik]), "")</f>
        <v/>
      </c>
      <c r="J281" s="12" t="b">
        <v>0</v>
      </c>
      <c r="K281">
        <f>_xlfn.IFNA(_xlfn.XLOOKUP(Rezultati[[#This Row],[Vpisna]], Izpit3[Vpisna],Izpit3[Skupaj]), "")</f>
        <v>24</v>
      </c>
      <c r="L281" s="12" t="b">
        <v>1</v>
      </c>
      <c r="M281">
        <f>MAX(Rezultati[[#This Row],[1.izpit]],Rezultati[[#This Row],[2.izpit]],Rezultati[[#This Row],[3.izpit]])</f>
        <v>24</v>
      </c>
      <c r="N281"/>
      <c r="O281">
        <f>Rezultati[[#This Row],[DN]]+Rezultati[[#This Row],[Max]]+Rezultati[[#This Row],[Bonus]]</f>
        <v>31</v>
      </c>
      <c r="P281" cm="1">
        <f t="array" ref="P281">_xlfn.XLOOKUP(Rezultati[[#This Row],[Skupaj]],_xlfn.XLOOKUP(Rezultati[[#This Row],[Program]],Kriterij[[#Headers],[APF]:[PED]],Kriterij[[APF]:[PED]]), Kriterij[Ocena], "", -1, 2)</f>
        <v>5</v>
      </c>
    </row>
    <row r="282" spans="2:16" x14ac:dyDescent="0.2">
      <c r="B282">
        <v>27000280</v>
      </c>
      <c r="C282" t="s">
        <v>12</v>
      </c>
      <c r="D282">
        <f>_xlfn.IFNA(_xlfn.XLOOKUP(Rezultati[[#This Row],[Vpisna]], DomaceNaloge[Vpisna],DomaceNaloge[Skupaj]), 0)</f>
        <v>9</v>
      </c>
      <c r="E282">
        <f>_xlfn.IFNA(_xlfn.XLOOKUP(Rezultati[[#This Row],[Vpisna]], Izpit1[Vpisna],Izpit1[Skupaj]), "")</f>
        <v>95.5</v>
      </c>
      <c r="F282" t="str">
        <f>_xlfn.IFNA(_xlfn.XLOOKUP(Rezultati[[#This Row],[Vpisna]], Izpit1[Vpisna],Izpit1[Računalnik]), "")</f>
        <v>šolski</v>
      </c>
      <c r="G282" s="12" t="b">
        <v>1</v>
      </c>
      <c r="H282" t="str">
        <f>_xlfn.IFNA(_xlfn.XLOOKUP(Rezultati[[#This Row],[Vpisna]], Izpit2[Vpisna],Izpit2[Skupaj]), "")</f>
        <v/>
      </c>
      <c r="I282" t="str">
        <f>_xlfn.IFNA(_xlfn.XLOOKUP(Rezultati[[#This Row],[Vpisna]], Izpit2[Vpisna],Izpit2[Računalnik]), "")</f>
        <v/>
      </c>
      <c r="J282" s="12" t="b">
        <v>0</v>
      </c>
      <c r="K282" t="str">
        <f>_xlfn.IFNA(_xlfn.XLOOKUP(Rezultati[[#This Row],[Vpisna]], Izpit3[Vpisna],Izpit3[Skupaj]), "")</f>
        <v/>
      </c>
      <c r="L282" s="12" t="b">
        <v>0</v>
      </c>
      <c r="M282">
        <f>MAX(Rezultati[[#This Row],[1.izpit]],Rezultati[[#This Row],[2.izpit]],Rezultati[[#This Row],[3.izpit]])</f>
        <v>95.5</v>
      </c>
      <c r="N282"/>
      <c r="O282">
        <f>Rezultati[[#This Row],[DN]]+Rezultati[[#This Row],[Max]]+Rezultati[[#This Row],[Bonus]]</f>
        <v>104.5</v>
      </c>
      <c r="P282" cm="1">
        <f t="array" ref="P282">_xlfn.XLOOKUP(Rezultati[[#This Row],[Skupaj]],_xlfn.XLOOKUP(Rezultati[[#This Row],[Program]],Kriterij[[#Headers],[APF]:[PED]],Kriterij[[APF]:[PED]]), Kriterij[Ocena], "", -1, 2)</f>
        <v>10</v>
      </c>
    </row>
    <row r="283" spans="2:16" x14ac:dyDescent="0.2">
      <c r="B283">
        <v>27000281</v>
      </c>
      <c r="C283" t="s">
        <v>12</v>
      </c>
      <c r="D283">
        <f>_xlfn.IFNA(_xlfn.XLOOKUP(Rezultati[[#This Row],[Vpisna]], DomaceNaloge[Vpisna],DomaceNaloge[Skupaj]), 0)</f>
        <v>7</v>
      </c>
      <c r="E283">
        <f>_xlfn.IFNA(_xlfn.XLOOKUP(Rezultati[[#This Row],[Vpisna]], Izpit1[Vpisna],Izpit1[Skupaj]), "")</f>
        <v>90.5</v>
      </c>
      <c r="F283" t="str">
        <f>_xlfn.IFNA(_xlfn.XLOOKUP(Rezultati[[#This Row],[Vpisna]], Izpit1[Vpisna],Izpit1[Računalnik]), "")</f>
        <v>svoj</v>
      </c>
      <c r="G283" s="12" t="b">
        <v>1</v>
      </c>
      <c r="H283" t="str">
        <f>_xlfn.IFNA(_xlfn.XLOOKUP(Rezultati[[#This Row],[Vpisna]], Izpit2[Vpisna],Izpit2[Skupaj]), "")</f>
        <v/>
      </c>
      <c r="I283" t="str">
        <f>_xlfn.IFNA(_xlfn.XLOOKUP(Rezultati[[#This Row],[Vpisna]], Izpit2[Vpisna],Izpit2[Računalnik]), "")</f>
        <v/>
      </c>
      <c r="J283" s="12" t="b">
        <v>0</v>
      </c>
      <c r="K283" t="str">
        <f>_xlfn.IFNA(_xlfn.XLOOKUP(Rezultati[[#This Row],[Vpisna]], Izpit3[Vpisna],Izpit3[Skupaj]), "")</f>
        <v/>
      </c>
      <c r="L283" s="12" t="b">
        <v>0</v>
      </c>
      <c r="M283">
        <f>MAX(Rezultati[[#This Row],[1.izpit]],Rezultati[[#This Row],[2.izpit]],Rezultati[[#This Row],[3.izpit]])</f>
        <v>90.5</v>
      </c>
      <c r="N283"/>
      <c r="O283">
        <f>Rezultati[[#This Row],[DN]]+Rezultati[[#This Row],[Max]]+Rezultati[[#This Row],[Bonus]]</f>
        <v>97.5</v>
      </c>
      <c r="P283" cm="1">
        <f t="array" ref="P283">_xlfn.XLOOKUP(Rezultati[[#This Row],[Skupaj]],_xlfn.XLOOKUP(Rezultati[[#This Row],[Program]],Kriterij[[#Headers],[APF]:[PED]],Kriterij[[APF]:[PED]]), Kriterij[Ocena], "", -1, 2)</f>
        <v>10</v>
      </c>
    </row>
    <row r="284" spans="2:16" x14ac:dyDescent="0.2">
      <c r="B284">
        <v>27000282</v>
      </c>
      <c r="C284" t="s">
        <v>12</v>
      </c>
      <c r="D284">
        <f>_xlfn.IFNA(_xlfn.XLOOKUP(Rezultati[[#This Row],[Vpisna]], DomaceNaloge[Vpisna],DomaceNaloge[Skupaj]), 0)</f>
        <v>0</v>
      </c>
      <c r="E284" t="str">
        <f>_xlfn.IFNA(_xlfn.XLOOKUP(Rezultati[[#This Row],[Vpisna]], Izpit1[Vpisna],Izpit1[Skupaj]), "")</f>
        <v/>
      </c>
      <c r="F284" t="str">
        <f>_xlfn.IFNA(_xlfn.XLOOKUP(Rezultati[[#This Row],[Vpisna]], Izpit1[Vpisna],Izpit1[Računalnik]), "")</f>
        <v/>
      </c>
      <c r="G284" s="12" t="b">
        <v>0</v>
      </c>
      <c r="H284" t="str">
        <f>_xlfn.IFNA(_xlfn.XLOOKUP(Rezultati[[#This Row],[Vpisna]], Izpit2[Vpisna],Izpit2[Skupaj]), "")</f>
        <v/>
      </c>
      <c r="I284" t="str">
        <f>_xlfn.IFNA(_xlfn.XLOOKUP(Rezultati[[#This Row],[Vpisna]], Izpit2[Vpisna],Izpit2[Računalnik]), "")</f>
        <v/>
      </c>
      <c r="J284" s="12" t="b">
        <v>0</v>
      </c>
      <c r="K284" t="str">
        <f>_xlfn.IFNA(_xlfn.XLOOKUP(Rezultati[[#This Row],[Vpisna]], Izpit3[Vpisna],Izpit3[Skupaj]), "")</f>
        <v/>
      </c>
      <c r="L284" s="12" t="b">
        <v>0</v>
      </c>
      <c r="M284">
        <f>MAX(Rezultati[[#This Row],[1.izpit]],Rezultati[[#This Row],[2.izpit]],Rezultati[[#This Row],[3.izpit]])</f>
        <v>0</v>
      </c>
      <c r="N284"/>
      <c r="O284">
        <f>Rezultati[[#This Row],[DN]]+Rezultati[[#This Row],[Max]]+Rezultati[[#This Row],[Bonus]]</f>
        <v>0</v>
      </c>
      <c r="P284" t="str" cm="1">
        <f t="array" ref="P284">_xlfn.XLOOKUP(Rezultati[[#This Row],[Skupaj]],_xlfn.XLOOKUP(Rezultati[[#This Row],[Program]],Kriterij[[#Headers],[APF]:[PED]],Kriterij[[APF]:[PED]]), Kriterij[Ocena], "", -1, 2)</f>
        <v/>
      </c>
    </row>
    <row r="285" spans="2:16" x14ac:dyDescent="0.2">
      <c r="B285">
        <v>27000283</v>
      </c>
      <c r="C285" t="s">
        <v>12</v>
      </c>
      <c r="D285">
        <f>_xlfn.IFNA(_xlfn.XLOOKUP(Rezultati[[#This Row],[Vpisna]], DomaceNaloge[Vpisna],DomaceNaloge[Skupaj]), 0)</f>
        <v>0</v>
      </c>
      <c r="E285" t="str">
        <f>_xlfn.IFNA(_xlfn.XLOOKUP(Rezultati[[#This Row],[Vpisna]], Izpit1[Vpisna],Izpit1[Skupaj]), "")</f>
        <v/>
      </c>
      <c r="F285" t="str">
        <f>_xlfn.IFNA(_xlfn.XLOOKUP(Rezultati[[#This Row],[Vpisna]], Izpit1[Vpisna],Izpit1[Računalnik]), "")</f>
        <v/>
      </c>
      <c r="G285" s="12" t="b">
        <v>0</v>
      </c>
      <c r="H285" t="str">
        <f>_xlfn.IFNA(_xlfn.XLOOKUP(Rezultati[[#This Row],[Vpisna]], Izpit2[Vpisna],Izpit2[Skupaj]), "")</f>
        <v/>
      </c>
      <c r="I285" t="str">
        <f>_xlfn.IFNA(_xlfn.XLOOKUP(Rezultati[[#This Row],[Vpisna]], Izpit2[Vpisna],Izpit2[Računalnik]), "")</f>
        <v/>
      </c>
      <c r="J285" s="12" t="b">
        <v>0</v>
      </c>
      <c r="K285" t="str">
        <f>_xlfn.IFNA(_xlfn.XLOOKUP(Rezultati[[#This Row],[Vpisna]], Izpit3[Vpisna],Izpit3[Skupaj]), "")</f>
        <v/>
      </c>
      <c r="L285" s="12" t="b">
        <v>0</v>
      </c>
      <c r="M285">
        <f>MAX(Rezultati[[#This Row],[1.izpit]],Rezultati[[#This Row],[2.izpit]],Rezultati[[#This Row],[3.izpit]])</f>
        <v>0</v>
      </c>
      <c r="N285"/>
      <c r="O285">
        <f>Rezultati[[#This Row],[DN]]+Rezultati[[#This Row],[Max]]+Rezultati[[#This Row],[Bonus]]</f>
        <v>0</v>
      </c>
      <c r="P285" t="str" cm="1">
        <f t="array" ref="P285">_xlfn.XLOOKUP(Rezultati[[#This Row],[Skupaj]],_xlfn.XLOOKUP(Rezultati[[#This Row],[Program]],Kriterij[[#Headers],[APF]:[PED]],Kriterij[[APF]:[PED]]), Kriterij[Ocena], "", -1, 2)</f>
        <v/>
      </c>
    </row>
    <row r="286" spans="2:16" x14ac:dyDescent="0.2">
      <c r="B286">
        <v>27000284</v>
      </c>
      <c r="C286" t="s">
        <v>12</v>
      </c>
      <c r="D286">
        <f>_xlfn.IFNA(_xlfn.XLOOKUP(Rezultati[[#This Row],[Vpisna]], DomaceNaloge[Vpisna],DomaceNaloge[Skupaj]), 0)</f>
        <v>0</v>
      </c>
      <c r="E286" t="str">
        <f>_xlfn.IFNA(_xlfn.XLOOKUP(Rezultati[[#This Row],[Vpisna]], Izpit1[Vpisna],Izpit1[Skupaj]), "")</f>
        <v/>
      </c>
      <c r="F286" t="str">
        <f>_xlfn.IFNA(_xlfn.XLOOKUP(Rezultati[[#This Row],[Vpisna]], Izpit1[Vpisna],Izpit1[Računalnik]), "")</f>
        <v/>
      </c>
      <c r="G286" s="12" t="b">
        <v>0</v>
      </c>
      <c r="H286" t="str">
        <f>_xlfn.IFNA(_xlfn.XLOOKUP(Rezultati[[#This Row],[Vpisna]], Izpit2[Vpisna],Izpit2[Skupaj]), "")</f>
        <v/>
      </c>
      <c r="I286" t="str">
        <f>_xlfn.IFNA(_xlfn.XLOOKUP(Rezultati[[#This Row],[Vpisna]], Izpit2[Vpisna],Izpit2[Računalnik]), "")</f>
        <v/>
      </c>
      <c r="J286" s="12" t="b">
        <v>0</v>
      </c>
      <c r="K286" t="str">
        <f>_xlfn.IFNA(_xlfn.XLOOKUP(Rezultati[[#This Row],[Vpisna]], Izpit3[Vpisna],Izpit3[Skupaj]), "")</f>
        <v/>
      </c>
      <c r="L286" s="12" t="b">
        <v>0</v>
      </c>
      <c r="M286">
        <f>MAX(Rezultati[[#This Row],[1.izpit]],Rezultati[[#This Row],[2.izpit]],Rezultati[[#This Row],[3.izpit]])</f>
        <v>0</v>
      </c>
      <c r="N286"/>
      <c r="O286">
        <f>Rezultati[[#This Row],[DN]]+Rezultati[[#This Row],[Max]]+Rezultati[[#This Row],[Bonus]]</f>
        <v>0</v>
      </c>
      <c r="P286" t="str" cm="1">
        <f t="array" ref="P286">_xlfn.XLOOKUP(Rezultati[[#This Row],[Skupaj]],_xlfn.XLOOKUP(Rezultati[[#This Row],[Program]],Kriterij[[#Headers],[APF]:[PED]],Kriterij[[APF]:[PED]]), Kriterij[Ocena], "", -1, 2)</f>
        <v/>
      </c>
    </row>
    <row r="287" spans="2:16" x14ac:dyDescent="0.2">
      <c r="B287">
        <v>27000285</v>
      </c>
      <c r="C287" t="s">
        <v>12</v>
      </c>
      <c r="D287">
        <f>_xlfn.IFNA(_xlfn.XLOOKUP(Rezultati[[#This Row],[Vpisna]], DomaceNaloge[Vpisna],DomaceNaloge[Skupaj]), 0)</f>
        <v>0</v>
      </c>
      <c r="E287" t="str">
        <f>_xlfn.IFNA(_xlfn.XLOOKUP(Rezultati[[#This Row],[Vpisna]], Izpit1[Vpisna],Izpit1[Skupaj]), "")</f>
        <v/>
      </c>
      <c r="F287" t="str">
        <f>_xlfn.IFNA(_xlfn.XLOOKUP(Rezultati[[#This Row],[Vpisna]], Izpit1[Vpisna],Izpit1[Računalnik]), "")</f>
        <v/>
      </c>
      <c r="G287" s="12" t="b">
        <v>0</v>
      </c>
      <c r="H287" t="str">
        <f>_xlfn.IFNA(_xlfn.XLOOKUP(Rezultati[[#This Row],[Vpisna]], Izpit2[Vpisna],Izpit2[Skupaj]), "")</f>
        <v/>
      </c>
      <c r="I287" t="str">
        <f>_xlfn.IFNA(_xlfn.XLOOKUP(Rezultati[[#This Row],[Vpisna]], Izpit2[Vpisna],Izpit2[Računalnik]), "")</f>
        <v/>
      </c>
      <c r="J287" s="12" t="b">
        <v>0</v>
      </c>
      <c r="K287" t="str">
        <f>_xlfn.IFNA(_xlfn.XLOOKUP(Rezultati[[#This Row],[Vpisna]], Izpit3[Vpisna],Izpit3[Skupaj]), "")</f>
        <v/>
      </c>
      <c r="L287" s="12" t="b">
        <v>0</v>
      </c>
      <c r="M287">
        <f>MAX(Rezultati[[#This Row],[1.izpit]],Rezultati[[#This Row],[2.izpit]],Rezultati[[#This Row],[3.izpit]])</f>
        <v>0</v>
      </c>
      <c r="N287"/>
      <c r="O287">
        <f>Rezultati[[#This Row],[DN]]+Rezultati[[#This Row],[Max]]+Rezultati[[#This Row],[Bonus]]</f>
        <v>0</v>
      </c>
      <c r="P287" t="str" cm="1">
        <f t="array" ref="P287">_xlfn.XLOOKUP(Rezultati[[#This Row],[Skupaj]],_xlfn.XLOOKUP(Rezultati[[#This Row],[Program]],Kriterij[[#Headers],[APF]:[PED]],Kriterij[[APF]:[PED]]), Kriterij[Ocena], "", -1, 2)</f>
        <v/>
      </c>
    </row>
    <row r="288" spans="2:16" x14ac:dyDescent="0.2">
      <c r="B288">
        <v>27000286</v>
      </c>
      <c r="C288" t="s">
        <v>12</v>
      </c>
      <c r="D288">
        <f>_xlfn.IFNA(_xlfn.XLOOKUP(Rezultati[[#This Row],[Vpisna]], DomaceNaloge[Vpisna],DomaceNaloge[Skupaj]), 0)</f>
        <v>8</v>
      </c>
      <c r="E288">
        <f>_xlfn.IFNA(_xlfn.XLOOKUP(Rezultati[[#This Row],[Vpisna]], Izpit1[Vpisna],Izpit1[Skupaj]), "")</f>
        <v>70</v>
      </c>
      <c r="F288" t="str">
        <f>_xlfn.IFNA(_xlfn.XLOOKUP(Rezultati[[#This Row],[Vpisna]], Izpit1[Vpisna],Izpit1[Računalnik]), "")</f>
        <v>šolski</v>
      </c>
      <c r="G288" s="12" t="b">
        <v>1</v>
      </c>
      <c r="H288" t="str">
        <f>_xlfn.IFNA(_xlfn.XLOOKUP(Rezultati[[#This Row],[Vpisna]], Izpit2[Vpisna],Izpit2[Skupaj]), "")</f>
        <v/>
      </c>
      <c r="I288" t="str">
        <f>_xlfn.IFNA(_xlfn.XLOOKUP(Rezultati[[#This Row],[Vpisna]], Izpit2[Vpisna],Izpit2[Računalnik]), "")</f>
        <v/>
      </c>
      <c r="J288" s="12" t="b">
        <v>0</v>
      </c>
      <c r="K288" t="str">
        <f>_xlfn.IFNA(_xlfn.XLOOKUP(Rezultati[[#This Row],[Vpisna]], Izpit3[Vpisna],Izpit3[Skupaj]), "")</f>
        <v/>
      </c>
      <c r="L288" s="12" t="b">
        <v>0</v>
      </c>
      <c r="M288">
        <f>MAX(Rezultati[[#This Row],[1.izpit]],Rezultati[[#This Row],[2.izpit]],Rezultati[[#This Row],[3.izpit]])</f>
        <v>70</v>
      </c>
      <c r="N288"/>
      <c r="O288">
        <f>Rezultati[[#This Row],[DN]]+Rezultati[[#This Row],[Max]]+Rezultati[[#This Row],[Bonus]]</f>
        <v>78</v>
      </c>
      <c r="P288" cm="1">
        <f t="array" ref="P288">_xlfn.XLOOKUP(Rezultati[[#This Row],[Skupaj]],_xlfn.XLOOKUP(Rezultati[[#This Row],[Program]],Kriterij[[#Headers],[APF]:[PED]],Kriterij[[APF]:[PED]]), Kriterij[Ocena], "", -1, 2)</f>
        <v>8</v>
      </c>
    </row>
    <row r="289" spans="2:16" x14ac:dyDescent="0.2">
      <c r="B289">
        <v>27000287</v>
      </c>
      <c r="C289" t="s">
        <v>12</v>
      </c>
      <c r="D289">
        <f>_xlfn.IFNA(_xlfn.XLOOKUP(Rezultati[[#This Row],[Vpisna]], DomaceNaloge[Vpisna],DomaceNaloge[Skupaj]), 0)</f>
        <v>9</v>
      </c>
      <c r="E289">
        <f>_xlfn.IFNA(_xlfn.XLOOKUP(Rezultati[[#This Row],[Vpisna]], Izpit1[Vpisna],Izpit1[Skupaj]), "")</f>
        <v>100</v>
      </c>
      <c r="F289" t="str">
        <f>_xlfn.IFNA(_xlfn.XLOOKUP(Rezultati[[#This Row],[Vpisna]], Izpit1[Vpisna],Izpit1[Računalnik]), "")</f>
        <v>svoj</v>
      </c>
      <c r="G289" s="12" t="b">
        <v>1</v>
      </c>
      <c r="H289" t="str">
        <f>_xlfn.IFNA(_xlfn.XLOOKUP(Rezultati[[#This Row],[Vpisna]], Izpit2[Vpisna],Izpit2[Skupaj]), "")</f>
        <v/>
      </c>
      <c r="I289" t="str">
        <f>_xlfn.IFNA(_xlfn.XLOOKUP(Rezultati[[#This Row],[Vpisna]], Izpit2[Vpisna],Izpit2[Računalnik]), "")</f>
        <v/>
      </c>
      <c r="J289" s="12" t="b">
        <v>0</v>
      </c>
      <c r="K289" t="str">
        <f>_xlfn.IFNA(_xlfn.XLOOKUP(Rezultati[[#This Row],[Vpisna]], Izpit3[Vpisna],Izpit3[Skupaj]), "")</f>
        <v/>
      </c>
      <c r="L289" s="12" t="b">
        <v>0</v>
      </c>
      <c r="M289">
        <f>MAX(Rezultati[[#This Row],[1.izpit]],Rezultati[[#This Row],[2.izpit]],Rezultati[[#This Row],[3.izpit]])</f>
        <v>100</v>
      </c>
      <c r="N289"/>
      <c r="O289">
        <f>Rezultati[[#This Row],[DN]]+Rezultati[[#This Row],[Max]]+Rezultati[[#This Row],[Bonus]]</f>
        <v>109</v>
      </c>
      <c r="P289" cm="1">
        <f t="array" ref="P289">_xlfn.XLOOKUP(Rezultati[[#This Row],[Skupaj]],_xlfn.XLOOKUP(Rezultati[[#This Row],[Program]],Kriterij[[#Headers],[APF]:[PED]],Kriterij[[APF]:[PED]]), Kriterij[Ocena], "", -1, 2)</f>
        <v>10</v>
      </c>
    </row>
    <row r="290" spans="2:16" x14ac:dyDescent="0.2">
      <c r="B290">
        <v>27000288</v>
      </c>
      <c r="C290" t="s">
        <v>12</v>
      </c>
      <c r="D290">
        <f>_xlfn.IFNA(_xlfn.XLOOKUP(Rezultati[[#This Row],[Vpisna]], DomaceNaloge[Vpisna],DomaceNaloge[Skupaj]), 0)</f>
        <v>0</v>
      </c>
      <c r="E290" t="str">
        <f>_xlfn.IFNA(_xlfn.XLOOKUP(Rezultati[[#This Row],[Vpisna]], Izpit1[Vpisna],Izpit1[Skupaj]), "")</f>
        <v/>
      </c>
      <c r="F290" t="str">
        <f>_xlfn.IFNA(_xlfn.XLOOKUP(Rezultati[[#This Row],[Vpisna]], Izpit1[Vpisna],Izpit1[Računalnik]), "")</f>
        <v/>
      </c>
      <c r="G290" s="12" t="b">
        <v>0</v>
      </c>
      <c r="H290" t="str">
        <f>_xlfn.IFNA(_xlfn.XLOOKUP(Rezultati[[#This Row],[Vpisna]], Izpit2[Vpisna],Izpit2[Skupaj]), "")</f>
        <v/>
      </c>
      <c r="I290" t="str">
        <f>_xlfn.IFNA(_xlfn.XLOOKUP(Rezultati[[#This Row],[Vpisna]], Izpit2[Vpisna],Izpit2[Računalnik]), "")</f>
        <v/>
      </c>
      <c r="J290" s="12" t="b">
        <v>0</v>
      </c>
      <c r="K290" t="str">
        <f>_xlfn.IFNA(_xlfn.XLOOKUP(Rezultati[[#This Row],[Vpisna]], Izpit3[Vpisna],Izpit3[Skupaj]), "")</f>
        <v/>
      </c>
      <c r="L290" s="12" t="b">
        <v>0</v>
      </c>
      <c r="M290">
        <f>MAX(Rezultati[[#This Row],[1.izpit]],Rezultati[[#This Row],[2.izpit]],Rezultati[[#This Row],[3.izpit]])</f>
        <v>0</v>
      </c>
      <c r="N290"/>
      <c r="O290">
        <f>Rezultati[[#This Row],[DN]]+Rezultati[[#This Row],[Max]]+Rezultati[[#This Row],[Bonus]]</f>
        <v>0</v>
      </c>
      <c r="P290" t="str" cm="1">
        <f t="array" ref="P290">_xlfn.XLOOKUP(Rezultati[[#This Row],[Skupaj]],_xlfn.XLOOKUP(Rezultati[[#This Row],[Program]],Kriterij[[#Headers],[APF]:[PED]],Kriterij[[APF]:[PED]]), Kriterij[Ocena], "", -1, 2)</f>
        <v/>
      </c>
    </row>
    <row r="291" spans="2:16" x14ac:dyDescent="0.2">
      <c r="B291">
        <v>27000289</v>
      </c>
      <c r="C291" t="s">
        <v>12</v>
      </c>
      <c r="D291">
        <f>_xlfn.IFNA(_xlfn.XLOOKUP(Rezultati[[#This Row],[Vpisna]], DomaceNaloge[Vpisna],DomaceNaloge[Skupaj]), 0)</f>
        <v>10</v>
      </c>
      <c r="E291">
        <f>_xlfn.IFNA(_xlfn.XLOOKUP(Rezultati[[#This Row],[Vpisna]], Izpit1[Vpisna],Izpit1[Skupaj]), "")</f>
        <v>100</v>
      </c>
      <c r="F291" t="str">
        <f>_xlfn.IFNA(_xlfn.XLOOKUP(Rezultati[[#This Row],[Vpisna]], Izpit1[Vpisna],Izpit1[Računalnik]), "")</f>
        <v>svoj</v>
      </c>
      <c r="G291" s="12" t="b">
        <v>1</v>
      </c>
      <c r="H291" t="str">
        <f>_xlfn.IFNA(_xlfn.XLOOKUP(Rezultati[[#This Row],[Vpisna]], Izpit2[Vpisna],Izpit2[Skupaj]), "")</f>
        <v/>
      </c>
      <c r="I291" t="str">
        <f>_xlfn.IFNA(_xlfn.XLOOKUP(Rezultati[[#This Row],[Vpisna]], Izpit2[Vpisna],Izpit2[Računalnik]), "")</f>
        <v/>
      </c>
      <c r="J291" s="12" t="b">
        <v>0</v>
      </c>
      <c r="K291" t="str">
        <f>_xlfn.IFNA(_xlfn.XLOOKUP(Rezultati[[#This Row],[Vpisna]], Izpit3[Vpisna],Izpit3[Skupaj]), "")</f>
        <v/>
      </c>
      <c r="L291" s="12" t="b">
        <v>0</v>
      </c>
      <c r="M291">
        <f>MAX(Rezultati[[#This Row],[1.izpit]],Rezultati[[#This Row],[2.izpit]],Rezultati[[#This Row],[3.izpit]])</f>
        <v>100</v>
      </c>
      <c r="N291"/>
      <c r="O291">
        <f>Rezultati[[#This Row],[DN]]+Rezultati[[#This Row],[Max]]+Rezultati[[#This Row],[Bonus]]</f>
        <v>110</v>
      </c>
      <c r="P291" cm="1">
        <f t="array" ref="P291">_xlfn.XLOOKUP(Rezultati[[#This Row],[Skupaj]],_xlfn.XLOOKUP(Rezultati[[#This Row],[Program]],Kriterij[[#Headers],[APF]:[PED]],Kriterij[[APF]:[PED]]), Kriterij[Ocena], "", -1, 2)</f>
        <v>10</v>
      </c>
    </row>
    <row r="292" spans="2:16" x14ac:dyDescent="0.2">
      <c r="B292">
        <v>27000290</v>
      </c>
      <c r="C292" t="s">
        <v>12</v>
      </c>
      <c r="D292">
        <f>_xlfn.IFNA(_xlfn.XLOOKUP(Rezultati[[#This Row],[Vpisna]], DomaceNaloge[Vpisna],DomaceNaloge[Skupaj]), 0)</f>
        <v>9</v>
      </c>
      <c r="E292">
        <f>_xlfn.IFNA(_xlfn.XLOOKUP(Rezultati[[#This Row],[Vpisna]], Izpit1[Vpisna],Izpit1[Skupaj]), "")</f>
        <v>84</v>
      </c>
      <c r="F292" t="str">
        <f>_xlfn.IFNA(_xlfn.XLOOKUP(Rezultati[[#This Row],[Vpisna]], Izpit1[Vpisna],Izpit1[Računalnik]), "")</f>
        <v>svoj</v>
      </c>
      <c r="G292" s="12" t="b">
        <v>1</v>
      </c>
      <c r="H292" t="str">
        <f>_xlfn.IFNA(_xlfn.XLOOKUP(Rezultati[[#This Row],[Vpisna]], Izpit2[Vpisna],Izpit2[Skupaj]), "")</f>
        <v/>
      </c>
      <c r="I292" t="str">
        <f>_xlfn.IFNA(_xlfn.XLOOKUP(Rezultati[[#This Row],[Vpisna]], Izpit2[Vpisna],Izpit2[Računalnik]), "")</f>
        <v/>
      </c>
      <c r="J292" s="12" t="b">
        <v>0</v>
      </c>
      <c r="K292" t="str">
        <f>_xlfn.IFNA(_xlfn.XLOOKUP(Rezultati[[#This Row],[Vpisna]], Izpit3[Vpisna],Izpit3[Skupaj]), "")</f>
        <v/>
      </c>
      <c r="L292" s="12" t="b">
        <v>0</v>
      </c>
      <c r="M292">
        <f>MAX(Rezultati[[#This Row],[1.izpit]],Rezultati[[#This Row],[2.izpit]],Rezultati[[#This Row],[3.izpit]])</f>
        <v>84</v>
      </c>
      <c r="N292"/>
      <c r="O292">
        <f>Rezultati[[#This Row],[DN]]+Rezultati[[#This Row],[Max]]+Rezultati[[#This Row],[Bonus]]</f>
        <v>93</v>
      </c>
      <c r="P292" cm="1">
        <f t="array" ref="P292">_xlfn.XLOOKUP(Rezultati[[#This Row],[Skupaj]],_xlfn.XLOOKUP(Rezultati[[#This Row],[Program]],Kriterij[[#Headers],[APF]:[PED]],Kriterij[[APF]:[PED]]), Kriterij[Ocena], "", -1, 2)</f>
        <v>10</v>
      </c>
    </row>
    <row r="293" spans="2:16" x14ac:dyDescent="0.2">
      <c r="B293">
        <v>27000291</v>
      </c>
      <c r="C293" t="s">
        <v>12</v>
      </c>
      <c r="D293">
        <f>_xlfn.IFNA(_xlfn.XLOOKUP(Rezultati[[#This Row],[Vpisna]], DomaceNaloge[Vpisna],DomaceNaloge[Skupaj]), 0)</f>
        <v>8</v>
      </c>
      <c r="E293">
        <f>_xlfn.IFNA(_xlfn.XLOOKUP(Rezultati[[#This Row],[Vpisna]], Izpit1[Vpisna],Izpit1[Skupaj]), "")</f>
        <v>85.5</v>
      </c>
      <c r="F293" t="str">
        <f>_xlfn.IFNA(_xlfn.XLOOKUP(Rezultati[[#This Row],[Vpisna]], Izpit1[Vpisna],Izpit1[Računalnik]), "")</f>
        <v>svoj</v>
      </c>
      <c r="G293" s="12" t="b">
        <v>1</v>
      </c>
      <c r="H293" t="str">
        <f>_xlfn.IFNA(_xlfn.XLOOKUP(Rezultati[[#This Row],[Vpisna]], Izpit2[Vpisna],Izpit2[Skupaj]), "")</f>
        <v/>
      </c>
      <c r="I293" t="str">
        <f>_xlfn.IFNA(_xlfn.XLOOKUP(Rezultati[[#This Row],[Vpisna]], Izpit2[Vpisna],Izpit2[Računalnik]), "")</f>
        <v/>
      </c>
      <c r="J293" s="12" t="b">
        <v>0</v>
      </c>
      <c r="K293" t="str">
        <f>_xlfn.IFNA(_xlfn.XLOOKUP(Rezultati[[#This Row],[Vpisna]], Izpit3[Vpisna],Izpit3[Skupaj]), "")</f>
        <v/>
      </c>
      <c r="L293" s="12" t="b">
        <v>0</v>
      </c>
      <c r="M293">
        <f>MAX(Rezultati[[#This Row],[1.izpit]],Rezultati[[#This Row],[2.izpit]],Rezultati[[#This Row],[3.izpit]])</f>
        <v>85.5</v>
      </c>
      <c r="N293"/>
      <c r="O293">
        <f>Rezultati[[#This Row],[DN]]+Rezultati[[#This Row],[Max]]+Rezultati[[#This Row],[Bonus]]</f>
        <v>93.5</v>
      </c>
      <c r="P293" cm="1">
        <f t="array" ref="P293">_xlfn.XLOOKUP(Rezultati[[#This Row],[Skupaj]],_xlfn.XLOOKUP(Rezultati[[#This Row],[Program]],Kriterij[[#Headers],[APF]:[PED]],Kriterij[[APF]:[PED]]), Kriterij[Ocena], "", -1, 2)</f>
        <v>10</v>
      </c>
    </row>
    <row r="294" spans="2:16" x14ac:dyDescent="0.2">
      <c r="B294">
        <v>27000292</v>
      </c>
      <c r="C294" t="s">
        <v>12</v>
      </c>
      <c r="D294">
        <f>_xlfn.IFNA(_xlfn.XLOOKUP(Rezultati[[#This Row],[Vpisna]], DomaceNaloge[Vpisna],DomaceNaloge[Skupaj]), 0)</f>
        <v>0</v>
      </c>
      <c r="E294" t="str">
        <f>_xlfn.IFNA(_xlfn.XLOOKUP(Rezultati[[#This Row],[Vpisna]], Izpit1[Vpisna],Izpit1[Skupaj]), "")</f>
        <v/>
      </c>
      <c r="F294" t="str">
        <f>_xlfn.IFNA(_xlfn.XLOOKUP(Rezultati[[#This Row],[Vpisna]], Izpit1[Vpisna],Izpit1[Računalnik]), "")</f>
        <v/>
      </c>
      <c r="G294" s="12" t="b">
        <v>0</v>
      </c>
      <c r="H294" t="str">
        <f>_xlfn.IFNA(_xlfn.XLOOKUP(Rezultati[[#This Row],[Vpisna]], Izpit2[Vpisna],Izpit2[Skupaj]), "")</f>
        <v/>
      </c>
      <c r="I294" t="str">
        <f>_xlfn.IFNA(_xlfn.XLOOKUP(Rezultati[[#This Row],[Vpisna]], Izpit2[Vpisna],Izpit2[Računalnik]), "")</f>
        <v/>
      </c>
      <c r="J294" s="12" t="b">
        <v>0</v>
      </c>
      <c r="K294" t="str">
        <f>_xlfn.IFNA(_xlfn.XLOOKUP(Rezultati[[#This Row],[Vpisna]], Izpit3[Vpisna],Izpit3[Skupaj]), "")</f>
        <v/>
      </c>
      <c r="L294" s="12" t="b">
        <v>0</v>
      </c>
      <c r="M294">
        <f>MAX(Rezultati[[#This Row],[1.izpit]],Rezultati[[#This Row],[2.izpit]],Rezultati[[#This Row],[3.izpit]])</f>
        <v>0</v>
      </c>
      <c r="N294"/>
      <c r="O294">
        <f>Rezultati[[#This Row],[DN]]+Rezultati[[#This Row],[Max]]+Rezultati[[#This Row],[Bonus]]</f>
        <v>0</v>
      </c>
      <c r="P294" t="str" cm="1">
        <f t="array" ref="P294">_xlfn.XLOOKUP(Rezultati[[#This Row],[Skupaj]],_xlfn.XLOOKUP(Rezultati[[#This Row],[Program]],Kriterij[[#Headers],[APF]:[PED]],Kriterij[[APF]:[PED]]), Kriterij[Ocena], "", -1, 2)</f>
        <v/>
      </c>
    </row>
    <row r="295" spans="2:16" x14ac:dyDescent="0.2">
      <c r="B295">
        <v>27000293</v>
      </c>
      <c r="C295" t="s">
        <v>12</v>
      </c>
      <c r="D295">
        <f>_xlfn.IFNA(_xlfn.XLOOKUP(Rezultati[[#This Row],[Vpisna]], DomaceNaloge[Vpisna],DomaceNaloge[Skupaj]), 0)</f>
        <v>4</v>
      </c>
      <c r="E295" t="str">
        <f>_xlfn.IFNA(_xlfn.XLOOKUP(Rezultati[[#This Row],[Vpisna]], Izpit1[Vpisna],Izpit1[Skupaj]), "")</f>
        <v/>
      </c>
      <c r="F295" t="str">
        <f>_xlfn.IFNA(_xlfn.XLOOKUP(Rezultati[[#This Row],[Vpisna]], Izpit1[Vpisna],Izpit1[Računalnik]), "")</f>
        <v/>
      </c>
      <c r="G295" s="12" t="b">
        <v>0</v>
      </c>
      <c r="H295" t="str">
        <f>_xlfn.IFNA(_xlfn.XLOOKUP(Rezultati[[#This Row],[Vpisna]], Izpit2[Vpisna],Izpit2[Skupaj]), "")</f>
        <v/>
      </c>
      <c r="I295" t="str">
        <f>_xlfn.IFNA(_xlfn.XLOOKUP(Rezultati[[#This Row],[Vpisna]], Izpit2[Vpisna],Izpit2[Računalnik]), "")</f>
        <v/>
      </c>
      <c r="J295" s="12" t="b">
        <v>0</v>
      </c>
      <c r="K295" t="str">
        <f>_xlfn.IFNA(_xlfn.XLOOKUP(Rezultati[[#This Row],[Vpisna]], Izpit3[Vpisna],Izpit3[Skupaj]), "")</f>
        <v/>
      </c>
      <c r="L295" s="12" t="b">
        <v>0</v>
      </c>
      <c r="M295">
        <f>MAX(Rezultati[[#This Row],[1.izpit]],Rezultati[[#This Row],[2.izpit]],Rezultati[[#This Row],[3.izpit]])</f>
        <v>0</v>
      </c>
      <c r="N295"/>
      <c r="O295">
        <f>Rezultati[[#This Row],[DN]]+Rezultati[[#This Row],[Max]]+Rezultati[[#This Row],[Bonus]]</f>
        <v>4</v>
      </c>
      <c r="P295" cm="1">
        <f t="array" ref="P295">_xlfn.XLOOKUP(Rezultati[[#This Row],[Skupaj]],_xlfn.XLOOKUP(Rezultati[[#This Row],[Program]],Kriterij[[#Headers],[APF]:[PED]],Kriterij[[APF]:[PED]]), Kriterij[Ocena], "", -1, 2)</f>
        <v>5</v>
      </c>
    </row>
    <row r="296" spans="2:16" x14ac:dyDescent="0.2">
      <c r="B296">
        <v>27000294</v>
      </c>
      <c r="C296" t="s">
        <v>12</v>
      </c>
      <c r="D296">
        <f>_xlfn.IFNA(_xlfn.XLOOKUP(Rezultati[[#This Row],[Vpisna]], DomaceNaloge[Vpisna],DomaceNaloge[Skupaj]), 0)</f>
        <v>9</v>
      </c>
      <c r="E296">
        <f>_xlfn.IFNA(_xlfn.XLOOKUP(Rezultati[[#This Row],[Vpisna]], Izpit1[Vpisna],Izpit1[Skupaj]), "")</f>
        <v>100</v>
      </c>
      <c r="F296" t="str">
        <f>_xlfn.IFNA(_xlfn.XLOOKUP(Rezultati[[#This Row],[Vpisna]], Izpit1[Vpisna],Izpit1[Računalnik]), "")</f>
        <v>svoj</v>
      </c>
      <c r="G296" s="12" t="b">
        <v>1</v>
      </c>
      <c r="H296" t="str">
        <f>_xlfn.IFNA(_xlfn.XLOOKUP(Rezultati[[#This Row],[Vpisna]], Izpit2[Vpisna],Izpit2[Skupaj]), "")</f>
        <v/>
      </c>
      <c r="I296" t="str">
        <f>_xlfn.IFNA(_xlfn.XLOOKUP(Rezultati[[#This Row],[Vpisna]], Izpit2[Vpisna],Izpit2[Računalnik]), "")</f>
        <v/>
      </c>
      <c r="J296" s="12" t="b">
        <v>0</v>
      </c>
      <c r="K296" t="str">
        <f>_xlfn.IFNA(_xlfn.XLOOKUP(Rezultati[[#This Row],[Vpisna]], Izpit3[Vpisna],Izpit3[Skupaj]), "")</f>
        <v/>
      </c>
      <c r="L296" s="12" t="b">
        <v>0</v>
      </c>
      <c r="M296">
        <f>MAX(Rezultati[[#This Row],[1.izpit]],Rezultati[[#This Row],[2.izpit]],Rezultati[[#This Row],[3.izpit]])</f>
        <v>100</v>
      </c>
      <c r="N296"/>
      <c r="O296">
        <f>Rezultati[[#This Row],[DN]]+Rezultati[[#This Row],[Max]]+Rezultati[[#This Row],[Bonus]]</f>
        <v>109</v>
      </c>
      <c r="P296" cm="1">
        <f t="array" ref="P296">_xlfn.XLOOKUP(Rezultati[[#This Row],[Skupaj]],_xlfn.XLOOKUP(Rezultati[[#This Row],[Program]],Kriterij[[#Headers],[APF]:[PED]],Kriterij[[APF]:[PED]]), Kriterij[Ocena], "", -1, 2)</f>
        <v>10</v>
      </c>
    </row>
    <row r="297" spans="2:16" x14ac:dyDescent="0.2">
      <c r="B297">
        <v>27000295</v>
      </c>
      <c r="C297" t="s">
        <v>9</v>
      </c>
      <c r="D297">
        <f>_xlfn.IFNA(_xlfn.XLOOKUP(Rezultati[[#This Row],[Vpisna]], DomaceNaloge[Vpisna],DomaceNaloge[Skupaj]), 0)</f>
        <v>0</v>
      </c>
      <c r="E297" t="str">
        <f>_xlfn.IFNA(_xlfn.XLOOKUP(Rezultati[[#This Row],[Vpisna]], Izpit1[Vpisna],Izpit1[Skupaj]), "")</f>
        <v/>
      </c>
      <c r="F297" t="str">
        <f>_xlfn.IFNA(_xlfn.XLOOKUP(Rezultati[[#This Row],[Vpisna]], Izpit1[Vpisna],Izpit1[Računalnik]), "")</f>
        <v/>
      </c>
      <c r="G297" s="12" t="b">
        <v>0</v>
      </c>
      <c r="H297">
        <f>_xlfn.IFNA(_xlfn.XLOOKUP(Rezultati[[#This Row],[Vpisna]], Izpit2[Vpisna],Izpit2[Skupaj]), "")</f>
        <v>33</v>
      </c>
      <c r="I297" t="str">
        <f>_xlfn.IFNA(_xlfn.XLOOKUP(Rezultati[[#This Row],[Vpisna]], Izpit2[Vpisna],Izpit2[Računalnik]), "")</f>
        <v>šolski</v>
      </c>
      <c r="J297" s="12" t="b">
        <v>1</v>
      </c>
      <c r="K297">
        <f>_xlfn.IFNA(_xlfn.XLOOKUP(Rezultati[[#This Row],[Vpisna]], Izpit3[Vpisna],Izpit3[Skupaj]), "")</f>
        <v>37</v>
      </c>
      <c r="L297" s="12" t="b">
        <v>1</v>
      </c>
      <c r="M297">
        <f>MAX(Rezultati[[#This Row],[1.izpit]],Rezultati[[#This Row],[2.izpit]],Rezultati[[#This Row],[3.izpit]])</f>
        <v>37</v>
      </c>
      <c r="N297"/>
      <c r="O297">
        <f>Rezultati[[#This Row],[DN]]+Rezultati[[#This Row],[Max]]+Rezultati[[#This Row],[Bonus]]</f>
        <v>37</v>
      </c>
      <c r="P297" cm="1">
        <f t="array" ref="P297">_xlfn.XLOOKUP(Rezultati[[#This Row],[Skupaj]],_xlfn.XLOOKUP(Rezultati[[#This Row],[Program]],Kriterij[[#Headers],[APF]:[PED]],Kriterij[[APF]:[PED]]), Kriterij[Ocena], "", -1, 2)</f>
        <v>5</v>
      </c>
    </row>
    <row r="298" spans="2:16" x14ac:dyDescent="0.2">
      <c r="B298">
        <v>27000296</v>
      </c>
      <c r="C298" t="s">
        <v>12</v>
      </c>
      <c r="D298">
        <f>_xlfn.IFNA(_xlfn.XLOOKUP(Rezultati[[#This Row],[Vpisna]], DomaceNaloge[Vpisna],DomaceNaloge[Skupaj]), 0)</f>
        <v>8</v>
      </c>
      <c r="E298">
        <f>_xlfn.IFNA(_xlfn.XLOOKUP(Rezultati[[#This Row],[Vpisna]], Izpit1[Vpisna],Izpit1[Skupaj]), "")</f>
        <v>100</v>
      </c>
      <c r="F298" t="str">
        <f>_xlfn.IFNA(_xlfn.XLOOKUP(Rezultati[[#This Row],[Vpisna]], Izpit1[Vpisna],Izpit1[Računalnik]), "")</f>
        <v>šolski</v>
      </c>
      <c r="G298" s="12" t="b">
        <v>1</v>
      </c>
      <c r="H298" t="str">
        <f>_xlfn.IFNA(_xlfn.XLOOKUP(Rezultati[[#This Row],[Vpisna]], Izpit2[Vpisna],Izpit2[Skupaj]), "")</f>
        <v/>
      </c>
      <c r="I298" t="str">
        <f>_xlfn.IFNA(_xlfn.XLOOKUP(Rezultati[[#This Row],[Vpisna]], Izpit2[Vpisna],Izpit2[Računalnik]), "")</f>
        <v/>
      </c>
      <c r="J298" s="12" t="b">
        <v>0</v>
      </c>
      <c r="K298" t="str">
        <f>_xlfn.IFNA(_xlfn.XLOOKUP(Rezultati[[#This Row],[Vpisna]], Izpit3[Vpisna],Izpit3[Skupaj]), "")</f>
        <v/>
      </c>
      <c r="L298" s="12" t="b">
        <v>0</v>
      </c>
      <c r="M298">
        <f>MAX(Rezultati[[#This Row],[1.izpit]],Rezultati[[#This Row],[2.izpit]],Rezultati[[#This Row],[3.izpit]])</f>
        <v>100</v>
      </c>
      <c r="N298"/>
      <c r="O298">
        <f>Rezultati[[#This Row],[DN]]+Rezultati[[#This Row],[Max]]+Rezultati[[#This Row],[Bonus]]</f>
        <v>108</v>
      </c>
      <c r="P298" cm="1">
        <f t="array" ref="P298">_xlfn.XLOOKUP(Rezultati[[#This Row],[Skupaj]],_xlfn.XLOOKUP(Rezultati[[#This Row],[Program]],Kriterij[[#Headers],[APF]:[PED]],Kriterij[[APF]:[PED]]), Kriterij[Ocena], "", -1, 2)</f>
        <v>10</v>
      </c>
    </row>
    <row r="299" spans="2:16" x14ac:dyDescent="0.2">
      <c r="B299">
        <v>27000297</v>
      </c>
      <c r="C299" t="s">
        <v>12</v>
      </c>
      <c r="D299">
        <f>_xlfn.IFNA(_xlfn.XLOOKUP(Rezultati[[#This Row],[Vpisna]], DomaceNaloge[Vpisna],DomaceNaloge[Skupaj]), 0)</f>
        <v>7</v>
      </c>
      <c r="E299">
        <f>_xlfn.IFNA(_xlfn.XLOOKUP(Rezultati[[#This Row],[Vpisna]], Izpit1[Vpisna],Izpit1[Skupaj]), "")</f>
        <v>94.5</v>
      </c>
      <c r="F299" t="str">
        <f>_xlfn.IFNA(_xlfn.XLOOKUP(Rezultati[[#This Row],[Vpisna]], Izpit1[Vpisna],Izpit1[Računalnik]), "")</f>
        <v>svoj</v>
      </c>
      <c r="G299" s="12" t="b">
        <v>1</v>
      </c>
      <c r="H299" t="str">
        <f>_xlfn.IFNA(_xlfn.XLOOKUP(Rezultati[[#This Row],[Vpisna]], Izpit2[Vpisna],Izpit2[Skupaj]), "")</f>
        <v/>
      </c>
      <c r="I299" t="str">
        <f>_xlfn.IFNA(_xlfn.XLOOKUP(Rezultati[[#This Row],[Vpisna]], Izpit2[Vpisna],Izpit2[Računalnik]), "")</f>
        <v/>
      </c>
      <c r="J299" s="12" t="b">
        <v>0</v>
      </c>
      <c r="K299" t="str">
        <f>_xlfn.IFNA(_xlfn.XLOOKUP(Rezultati[[#This Row],[Vpisna]], Izpit3[Vpisna],Izpit3[Skupaj]), "")</f>
        <v/>
      </c>
      <c r="L299" s="12" t="b">
        <v>0</v>
      </c>
      <c r="M299">
        <f>MAX(Rezultati[[#This Row],[1.izpit]],Rezultati[[#This Row],[2.izpit]],Rezultati[[#This Row],[3.izpit]])</f>
        <v>94.5</v>
      </c>
      <c r="N299"/>
      <c r="O299">
        <f>Rezultati[[#This Row],[DN]]+Rezultati[[#This Row],[Max]]+Rezultati[[#This Row],[Bonus]]</f>
        <v>101.5</v>
      </c>
      <c r="P299" cm="1">
        <f t="array" ref="P299">_xlfn.XLOOKUP(Rezultati[[#This Row],[Skupaj]],_xlfn.XLOOKUP(Rezultati[[#This Row],[Program]],Kriterij[[#Headers],[APF]:[PED]],Kriterij[[APF]:[PED]]), Kriterij[Ocena], "", -1, 2)</f>
        <v>10</v>
      </c>
    </row>
    <row r="300" spans="2:16" x14ac:dyDescent="0.2">
      <c r="B300">
        <v>27000298</v>
      </c>
      <c r="C300" t="s">
        <v>12</v>
      </c>
      <c r="D300">
        <f>_xlfn.IFNA(_xlfn.XLOOKUP(Rezultati[[#This Row],[Vpisna]], DomaceNaloge[Vpisna],DomaceNaloge[Skupaj]), 0)</f>
        <v>0</v>
      </c>
      <c r="E300">
        <f>_xlfn.IFNA(_xlfn.XLOOKUP(Rezultati[[#This Row],[Vpisna]], Izpit1[Vpisna],Izpit1[Skupaj]), "")</f>
        <v>45.5</v>
      </c>
      <c r="F300" t="str">
        <f>_xlfn.IFNA(_xlfn.XLOOKUP(Rezultati[[#This Row],[Vpisna]], Izpit1[Vpisna],Izpit1[Računalnik]), "")</f>
        <v>šolski</v>
      </c>
      <c r="G300" s="12" t="b">
        <v>1</v>
      </c>
      <c r="H300" t="str">
        <f>_xlfn.IFNA(_xlfn.XLOOKUP(Rezultati[[#This Row],[Vpisna]], Izpit2[Vpisna],Izpit2[Skupaj]), "")</f>
        <v/>
      </c>
      <c r="I300" t="str">
        <f>_xlfn.IFNA(_xlfn.XLOOKUP(Rezultati[[#This Row],[Vpisna]], Izpit2[Vpisna],Izpit2[Računalnik]), "")</f>
        <v/>
      </c>
      <c r="J300" s="12" t="b">
        <v>0</v>
      </c>
      <c r="K300" t="str">
        <f>_xlfn.IFNA(_xlfn.XLOOKUP(Rezultati[[#This Row],[Vpisna]], Izpit3[Vpisna],Izpit3[Skupaj]), "")</f>
        <v/>
      </c>
      <c r="L300" s="12" t="b">
        <v>0</v>
      </c>
      <c r="M300">
        <f>MAX(Rezultati[[#This Row],[1.izpit]],Rezultati[[#This Row],[2.izpit]],Rezultati[[#This Row],[3.izpit]])</f>
        <v>45.5</v>
      </c>
      <c r="N300"/>
      <c r="O300">
        <f>Rezultati[[#This Row],[DN]]+Rezultati[[#This Row],[Max]]+Rezultati[[#This Row],[Bonus]]</f>
        <v>45.5</v>
      </c>
      <c r="P300" cm="1">
        <f t="array" ref="P300">_xlfn.XLOOKUP(Rezultati[[#This Row],[Skupaj]],_xlfn.XLOOKUP(Rezultati[[#This Row],[Program]],Kriterij[[#Headers],[APF]:[PED]],Kriterij[[APF]:[PED]]), Kriterij[Ocena], "", -1, 2)</f>
        <v>5</v>
      </c>
    </row>
    <row r="301" spans="2:16" x14ac:dyDescent="0.2">
      <c r="B301">
        <v>27000299</v>
      </c>
      <c r="C301" t="s">
        <v>12</v>
      </c>
      <c r="D301">
        <f>_xlfn.IFNA(_xlfn.XLOOKUP(Rezultati[[#This Row],[Vpisna]], DomaceNaloge[Vpisna],DomaceNaloge[Skupaj]), 0)</f>
        <v>0</v>
      </c>
      <c r="E301" t="str">
        <f>_xlfn.IFNA(_xlfn.XLOOKUP(Rezultati[[#This Row],[Vpisna]], Izpit1[Vpisna],Izpit1[Skupaj]), "")</f>
        <v/>
      </c>
      <c r="F301" t="str">
        <f>_xlfn.IFNA(_xlfn.XLOOKUP(Rezultati[[#This Row],[Vpisna]], Izpit1[Vpisna],Izpit1[Računalnik]), "")</f>
        <v/>
      </c>
      <c r="G301" s="12" t="b">
        <v>0</v>
      </c>
      <c r="H301" t="str">
        <f>_xlfn.IFNA(_xlfn.XLOOKUP(Rezultati[[#This Row],[Vpisna]], Izpit2[Vpisna],Izpit2[Skupaj]), "")</f>
        <v/>
      </c>
      <c r="I301" t="str">
        <f>_xlfn.IFNA(_xlfn.XLOOKUP(Rezultati[[#This Row],[Vpisna]], Izpit2[Vpisna],Izpit2[Računalnik]), "")</f>
        <v/>
      </c>
      <c r="J301" s="12" t="b">
        <v>0</v>
      </c>
      <c r="K301" t="str">
        <f>_xlfn.IFNA(_xlfn.XLOOKUP(Rezultati[[#This Row],[Vpisna]], Izpit3[Vpisna],Izpit3[Skupaj]), "")</f>
        <v/>
      </c>
      <c r="L301" s="12" t="b">
        <v>0</v>
      </c>
      <c r="M301">
        <f>MAX(Rezultati[[#This Row],[1.izpit]],Rezultati[[#This Row],[2.izpit]],Rezultati[[#This Row],[3.izpit]])</f>
        <v>0</v>
      </c>
      <c r="N301"/>
      <c r="O301">
        <f>Rezultati[[#This Row],[DN]]+Rezultati[[#This Row],[Max]]+Rezultati[[#This Row],[Bonus]]</f>
        <v>0</v>
      </c>
      <c r="P301" t="str" cm="1">
        <f t="array" ref="P301">_xlfn.XLOOKUP(Rezultati[[#This Row],[Skupaj]],_xlfn.XLOOKUP(Rezultati[[#This Row],[Program]],Kriterij[[#Headers],[APF]:[PED]],Kriterij[[APF]:[PED]]), Kriterij[Ocena], "", -1, 2)</f>
        <v/>
      </c>
    </row>
    <row r="302" spans="2:16" x14ac:dyDescent="0.2">
      <c r="B302">
        <v>27000300</v>
      </c>
      <c r="C302" t="s">
        <v>12</v>
      </c>
      <c r="D302">
        <f>_xlfn.IFNA(_xlfn.XLOOKUP(Rezultati[[#This Row],[Vpisna]], DomaceNaloge[Vpisna],DomaceNaloge[Skupaj]), 0)</f>
        <v>9</v>
      </c>
      <c r="E302" t="str">
        <f>_xlfn.IFNA(_xlfn.XLOOKUP(Rezultati[[#This Row],[Vpisna]], Izpit1[Vpisna],Izpit1[Skupaj]), "")</f>
        <v/>
      </c>
      <c r="F302" t="str">
        <f>_xlfn.IFNA(_xlfn.XLOOKUP(Rezultati[[#This Row],[Vpisna]], Izpit1[Vpisna],Izpit1[Računalnik]), "")</f>
        <v/>
      </c>
      <c r="G302" s="12" t="b">
        <v>0</v>
      </c>
      <c r="H302">
        <f>_xlfn.IFNA(_xlfn.XLOOKUP(Rezultati[[#This Row],[Vpisna]], Izpit2[Vpisna],Izpit2[Skupaj]), "")</f>
        <v>99</v>
      </c>
      <c r="I302" t="str">
        <f>_xlfn.IFNA(_xlfn.XLOOKUP(Rezultati[[#This Row],[Vpisna]], Izpit2[Vpisna],Izpit2[Računalnik]), "")</f>
        <v>šolski</v>
      </c>
      <c r="J302" s="12" t="b">
        <v>1</v>
      </c>
      <c r="K302" t="str">
        <f>_xlfn.IFNA(_xlfn.XLOOKUP(Rezultati[[#This Row],[Vpisna]], Izpit3[Vpisna],Izpit3[Skupaj]), "")</f>
        <v/>
      </c>
      <c r="L302" s="12" t="b">
        <v>0</v>
      </c>
      <c r="M302">
        <f>MAX(Rezultati[[#This Row],[1.izpit]],Rezultati[[#This Row],[2.izpit]],Rezultati[[#This Row],[3.izpit]])</f>
        <v>99</v>
      </c>
      <c r="N302"/>
      <c r="O302">
        <f>Rezultati[[#This Row],[DN]]+Rezultati[[#This Row],[Max]]+Rezultati[[#This Row],[Bonus]]</f>
        <v>108</v>
      </c>
      <c r="P302" cm="1">
        <f t="array" ref="P302">_xlfn.XLOOKUP(Rezultati[[#This Row],[Skupaj]],_xlfn.XLOOKUP(Rezultati[[#This Row],[Program]],Kriterij[[#Headers],[APF]:[PED]],Kriterij[[APF]:[PED]]), Kriterij[Ocena], "", -1, 2)</f>
        <v>10</v>
      </c>
    </row>
    <row r="303" spans="2:16" x14ac:dyDescent="0.2">
      <c r="B303">
        <v>27000301</v>
      </c>
      <c r="C303" t="s">
        <v>12</v>
      </c>
      <c r="D303">
        <f>_xlfn.IFNA(_xlfn.XLOOKUP(Rezultati[[#This Row],[Vpisna]], DomaceNaloge[Vpisna],DomaceNaloge[Skupaj]), 0)</f>
        <v>4</v>
      </c>
      <c r="E303">
        <f>_xlfn.IFNA(_xlfn.XLOOKUP(Rezultati[[#This Row],[Vpisna]], Izpit1[Vpisna],Izpit1[Skupaj]), "")</f>
        <v>0</v>
      </c>
      <c r="F303" t="str">
        <f>_xlfn.IFNA(_xlfn.XLOOKUP(Rezultati[[#This Row],[Vpisna]], Izpit1[Vpisna],Izpit1[Računalnik]), "")</f>
        <v>šolski</v>
      </c>
      <c r="G303" s="12" t="b">
        <v>1</v>
      </c>
      <c r="H303">
        <f>_xlfn.IFNA(_xlfn.XLOOKUP(Rezultati[[#This Row],[Vpisna]], Izpit2[Vpisna],Izpit2[Skupaj]), "")</f>
        <v>32</v>
      </c>
      <c r="I303" t="str">
        <f>_xlfn.IFNA(_xlfn.XLOOKUP(Rezultati[[#This Row],[Vpisna]], Izpit2[Vpisna],Izpit2[Računalnik]), "")</f>
        <v>šolski</v>
      </c>
      <c r="J303" s="12" t="b">
        <v>1</v>
      </c>
      <c r="K303">
        <f>_xlfn.IFNA(_xlfn.XLOOKUP(Rezultati[[#This Row],[Vpisna]], Izpit3[Vpisna],Izpit3[Skupaj]), "")</f>
        <v>0</v>
      </c>
      <c r="L303" s="12" t="b">
        <v>1</v>
      </c>
      <c r="M303">
        <f>MAX(Rezultati[[#This Row],[1.izpit]],Rezultati[[#This Row],[2.izpit]],Rezultati[[#This Row],[3.izpit]])</f>
        <v>32</v>
      </c>
      <c r="N303"/>
      <c r="O303">
        <f>Rezultati[[#This Row],[DN]]+Rezultati[[#This Row],[Max]]+Rezultati[[#This Row],[Bonus]]</f>
        <v>36</v>
      </c>
      <c r="P303" cm="1">
        <f t="array" ref="P303">_xlfn.XLOOKUP(Rezultati[[#This Row],[Skupaj]],_xlfn.XLOOKUP(Rezultati[[#This Row],[Program]],Kriterij[[#Headers],[APF]:[PED]],Kriterij[[APF]:[PED]]), Kriterij[Ocena], "", -1, 2)</f>
        <v>5</v>
      </c>
    </row>
    <row r="304" spans="2:16" x14ac:dyDescent="0.2">
      <c r="B304">
        <v>27000302</v>
      </c>
      <c r="C304" t="s">
        <v>12</v>
      </c>
      <c r="D304">
        <f>_xlfn.IFNA(_xlfn.XLOOKUP(Rezultati[[#This Row],[Vpisna]], DomaceNaloge[Vpisna],DomaceNaloge[Skupaj]), 0)</f>
        <v>6</v>
      </c>
      <c r="E304">
        <f>_xlfn.IFNA(_xlfn.XLOOKUP(Rezultati[[#This Row],[Vpisna]], Izpit1[Vpisna],Izpit1[Skupaj]), "")</f>
        <v>34</v>
      </c>
      <c r="F304" t="str">
        <f>_xlfn.IFNA(_xlfn.XLOOKUP(Rezultati[[#This Row],[Vpisna]], Izpit1[Vpisna],Izpit1[Računalnik]), "")</f>
        <v>šolski</v>
      </c>
      <c r="G304" s="12" t="b">
        <v>1</v>
      </c>
      <c r="H304">
        <f>_xlfn.IFNA(_xlfn.XLOOKUP(Rezultati[[#This Row],[Vpisna]], Izpit2[Vpisna],Izpit2[Skupaj]), "")</f>
        <v>63</v>
      </c>
      <c r="I304" t="str">
        <f>_xlfn.IFNA(_xlfn.XLOOKUP(Rezultati[[#This Row],[Vpisna]], Izpit2[Vpisna],Izpit2[Računalnik]), "")</f>
        <v>šolski</v>
      </c>
      <c r="J304" s="12" t="b">
        <v>1</v>
      </c>
      <c r="K304" t="str">
        <f>_xlfn.IFNA(_xlfn.XLOOKUP(Rezultati[[#This Row],[Vpisna]], Izpit3[Vpisna],Izpit3[Skupaj]), "")</f>
        <v/>
      </c>
      <c r="L304" s="12" t="b">
        <v>0</v>
      </c>
      <c r="M304">
        <f>MAX(Rezultati[[#This Row],[1.izpit]],Rezultati[[#This Row],[2.izpit]],Rezultati[[#This Row],[3.izpit]])</f>
        <v>63</v>
      </c>
      <c r="N304"/>
      <c r="O304">
        <f>Rezultati[[#This Row],[DN]]+Rezultati[[#This Row],[Max]]+Rezultati[[#This Row],[Bonus]]</f>
        <v>69</v>
      </c>
      <c r="P304" cm="1">
        <f t="array" ref="P304">_xlfn.XLOOKUP(Rezultati[[#This Row],[Skupaj]],_xlfn.XLOOKUP(Rezultati[[#This Row],[Program]],Kriterij[[#Headers],[APF]:[PED]],Kriterij[[APF]:[PED]]), Kriterij[Ocena], "", -1, 2)</f>
        <v>7</v>
      </c>
    </row>
    <row r="305" spans="2:16" x14ac:dyDescent="0.2">
      <c r="B305">
        <v>27000303</v>
      </c>
      <c r="C305" t="s">
        <v>12</v>
      </c>
      <c r="D305">
        <f>_xlfn.IFNA(_xlfn.XLOOKUP(Rezultati[[#This Row],[Vpisna]], DomaceNaloge[Vpisna],DomaceNaloge[Skupaj]), 0)</f>
        <v>6</v>
      </c>
      <c r="E305">
        <f>_xlfn.IFNA(_xlfn.XLOOKUP(Rezultati[[#This Row],[Vpisna]], Izpit1[Vpisna],Izpit1[Skupaj]), "")</f>
        <v>43</v>
      </c>
      <c r="F305" t="str">
        <f>_xlfn.IFNA(_xlfn.XLOOKUP(Rezultati[[#This Row],[Vpisna]], Izpit1[Vpisna],Izpit1[Računalnik]), "")</f>
        <v>šolski</v>
      </c>
      <c r="G305" s="12" t="b">
        <v>1</v>
      </c>
      <c r="H305">
        <f>_xlfn.IFNA(_xlfn.XLOOKUP(Rezultati[[#This Row],[Vpisna]], Izpit2[Vpisna],Izpit2[Skupaj]), "")</f>
        <v>62</v>
      </c>
      <c r="I305" t="str">
        <f>_xlfn.IFNA(_xlfn.XLOOKUP(Rezultati[[#This Row],[Vpisna]], Izpit2[Vpisna],Izpit2[Računalnik]), "")</f>
        <v>šolski</v>
      </c>
      <c r="J305" s="12" t="b">
        <v>1</v>
      </c>
      <c r="K305" t="str">
        <f>_xlfn.IFNA(_xlfn.XLOOKUP(Rezultati[[#This Row],[Vpisna]], Izpit3[Vpisna],Izpit3[Skupaj]), "")</f>
        <v/>
      </c>
      <c r="L305" s="12" t="b">
        <v>0</v>
      </c>
      <c r="M305">
        <f>MAX(Rezultati[[#This Row],[1.izpit]],Rezultati[[#This Row],[2.izpit]],Rezultati[[#This Row],[3.izpit]])</f>
        <v>62</v>
      </c>
      <c r="N305"/>
      <c r="O305">
        <f>Rezultati[[#This Row],[DN]]+Rezultati[[#This Row],[Max]]+Rezultati[[#This Row],[Bonus]]</f>
        <v>68</v>
      </c>
      <c r="P305" cm="1">
        <f t="array" ref="P305">_xlfn.XLOOKUP(Rezultati[[#This Row],[Skupaj]],_xlfn.XLOOKUP(Rezultati[[#This Row],[Program]],Kriterij[[#Headers],[APF]:[PED]],Kriterij[[APF]:[PED]]), Kriterij[Ocena], "", -1, 2)</f>
        <v>7</v>
      </c>
    </row>
    <row r="306" spans="2:16" x14ac:dyDescent="0.2">
      <c r="B306">
        <v>27000304</v>
      </c>
      <c r="C306" t="s">
        <v>12</v>
      </c>
      <c r="D306">
        <f>_xlfn.IFNA(_xlfn.XLOOKUP(Rezultati[[#This Row],[Vpisna]], DomaceNaloge[Vpisna],DomaceNaloge[Skupaj]), 0)</f>
        <v>5</v>
      </c>
      <c r="E306">
        <f>_xlfn.IFNA(_xlfn.XLOOKUP(Rezultati[[#This Row],[Vpisna]], Izpit1[Vpisna],Izpit1[Skupaj]), "")</f>
        <v>3</v>
      </c>
      <c r="F306" t="str">
        <f>_xlfn.IFNA(_xlfn.XLOOKUP(Rezultati[[#This Row],[Vpisna]], Izpit1[Vpisna],Izpit1[Računalnik]), "")</f>
        <v>svoj</v>
      </c>
      <c r="G306" s="12" t="b">
        <v>1</v>
      </c>
      <c r="H306">
        <f>_xlfn.IFNA(_xlfn.XLOOKUP(Rezultati[[#This Row],[Vpisna]], Izpit2[Vpisna],Izpit2[Skupaj]), "")</f>
        <v>75</v>
      </c>
      <c r="I306" t="str">
        <f>_xlfn.IFNA(_xlfn.XLOOKUP(Rezultati[[#This Row],[Vpisna]], Izpit2[Vpisna],Izpit2[Računalnik]), "")</f>
        <v>svoj</v>
      </c>
      <c r="J306" s="12" t="b">
        <v>1</v>
      </c>
      <c r="K306" t="str">
        <f>_xlfn.IFNA(_xlfn.XLOOKUP(Rezultati[[#This Row],[Vpisna]], Izpit3[Vpisna],Izpit3[Skupaj]), "")</f>
        <v/>
      </c>
      <c r="L306" s="12" t="b">
        <v>0</v>
      </c>
      <c r="M306">
        <f>MAX(Rezultati[[#This Row],[1.izpit]],Rezultati[[#This Row],[2.izpit]],Rezultati[[#This Row],[3.izpit]])</f>
        <v>75</v>
      </c>
      <c r="N306"/>
      <c r="O306">
        <f>Rezultati[[#This Row],[DN]]+Rezultati[[#This Row],[Max]]+Rezultati[[#This Row],[Bonus]]</f>
        <v>80</v>
      </c>
      <c r="P306" cm="1">
        <f t="array" ref="P306">_xlfn.XLOOKUP(Rezultati[[#This Row],[Skupaj]],_xlfn.XLOOKUP(Rezultati[[#This Row],[Program]],Kriterij[[#Headers],[APF]:[PED]],Kriterij[[APF]:[PED]]), Kriterij[Ocena], "", -1, 2)</f>
        <v>9</v>
      </c>
    </row>
    <row r="307" spans="2:16" x14ac:dyDescent="0.2">
      <c r="B307">
        <v>27000305</v>
      </c>
      <c r="C307" t="s">
        <v>12</v>
      </c>
      <c r="D307">
        <f>_xlfn.IFNA(_xlfn.XLOOKUP(Rezultati[[#This Row],[Vpisna]], DomaceNaloge[Vpisna],DomaceNaloge[Skupaj]), 0)</f>
        <v>4</v>
      </c>
      <c r="E307" t="str">
        <f>_xlfn.IFNA(_xlfn.XLOOKUP(Rezultati[[#This Row],[Vpisna]], Izpit1[Vpisna],Izpit1[Skupaj]), "")</f>
        <v/>
      </c>
      <c r="F307" t="str">
        <f>_xlfn.IFNA(_xlfn.XLOOKUP(Rezultati[[#This Row],[Vpisna]], Izpit1[Vpisna],Izpit1[Računalnik]), "")</f>
        <v/>
      </c>
      <c r="G307" s="12" t="b">
        <v>0</v>
      </c>
      <c r="H307">
        <f>_xlfn.IFNA(_xlfn.XLOOKUP(Rezultati[[#This Row],[Vpisna]], Izpit2[Vpisna],Izpit2[Skupaj]), "")</f>
        <v>16</v>
      </c>
      <c r="I307" t="str">
        <f>_xlfn.IFNA(_xlfn.XLOOKUP(Rezultati[[#This Row],[Vpisna]], Izpit2[Vpisna],Izpit2[Računalnik]), "")</f>
        <v>svoj</v>
      </c>
      <c r="J307" s="12" t="b">
        <v>1</v>
      </c>
      <c r="K307" t="str">
        <f>_xlfn.IFNA(_xlfn.XLOOKUP(Rezultati[[#This Row],[Vpisna]], Izpit3[Vpisna],Izpit3[Skupaj]), "")</f>
        <v/>
      </c>
      <c r="L307" s="12" t="b">
        <v>0</v>
      </c>
      <c r="M307">
        <f>MAX(Rezultati[[#This Row],[1.izpit]],Rezultati[[#This Row],[2.izpit]],Rezultati[[#This Row],[3.izpit]])</f>
        <v>16</v>
      </c>
      <c r="N307"/>
      <c r="O307">
        <f>Rezultati[[#This Row],[DN]]+Rezultati[[#This Row],[Max]]+Rezultati[[#This Row],[Bonus]]</f>
        <v>20</v>
      </c>
      <c r="P307" cm="1">
        <f t="array" ref="P307">_xlfn.XLOOKUP(Rezultati[[#This Row],[Skupaj]],_xlfn.XLOOKUP(Rezultati[[#This Row],[Program]],Kriterij[[#Headers],[APF]:[PED]],Kriterij[[APF]:[PED]]), Kriterij[Ocena], "", -1, 2)</f>
        <v>5</v>
      </c>
    </row>
    <row r="308" spans="2:16" x14ac:dyDescent="0.2">
      <c r="B308">
        <v>27000306</v>
      </c>
      <c r="C308" t="s">
        <v>13</v>
      </c>
      <c r="D308">
        <f>_xlfn.IFNA(_xlfn.XLOOKUP(Rezultati[[#This Row],[Vpisna]], DomaceNaloge[Vpisna],DomaceNaloge[Skupaj]), 0)</f>
        <v>0</v>
      </c>
      <c r="E308" t="str">
        <f>_xlfn.IFNA(_xlfn.XLOOKUP(Rezultati[[#This Row],[Vpisna]], Izpit1[Vpisna],Izpit1[Skupaj]), "")</f>
        <v/>
      </c>
      <c r="F308" t="str">
        <f>_xlfn.IFNA(_xlfn.XLOOKUP(Rezultati[[#This Row],[Vpisna]], Izpit1[Vpisna],Izpit1[Računalnik]), "")</f>
        <v/>
      </c>
      <c r="G308" s="12" t="b">
        <v>0</v>
      </c>
      <c r="H308" t="str">
        <f>_xlfn.IFNA(_xlfn.XLOOKUP(Rezultati[[#This Row],[Vpisna]], Izpit2[Vpisna],Izpit2[Skupaj]), "")</f>
        <v/>
      </c>
      <c r="I308" t="str">
        <f>_xlfn.IFNA(_xlfn.XLOOKUP(Rezultati[[#This Row],[Vpisna]], Izpit2[Vpisna],Izpit2[Računalnik]), "")</f>
        <v/>
      </c>
      <c r="J308" s="12" t="b">
        <v>0</v>
      </c>
      <c r="K308" t="str">
        <f>_xlfn.IFNA(_xlfn.XLOOKUP(Rezultati[[#This Row],[Vpisna]], Izpit3[Vpisna],Izpit3[Skupaj]), "")</f>
        <v/>
      </c>
      <c r="L308" s="12" t="b">
        <v>0</v>
      </c>
      <c r="M308">
        <f>MAX(Rezultati[[#This Row],[1.izpit]],Rezultati[[#This Row],[2.izpit]],Rezultati[[#This Row],[3.izpit]])</f>
        <v>0</v>
      </c>
      <c r="N308"/>
      <c r="O308">
        <f>Rezultati[[#This Row],[DN]]+Rezultati[[#This Row],[Max]]+Rezultati[[#This Row],[Bonus]]</f>
        <v>0</v>
      </c>
      <c r="P308" t="str" cm="1">
        <f t="array" ref="P308">_xlfn.XLOOKUP(Rezultati[[#This Row],[Skupaj]],_xlfn.XLOOKUP(Rezultati[[#This Row],[Program]],Kriterij[[#Headers],[APF]:[PED]],Kriterij[[APF]:[PED]]), Kriterij[Ocena], "", -1, 2)</f>
        <v/>
      </c>
    </row>
    <row r="309" spans="2:16" x14ac:dyDescent="0.2">
      <c r="B309">
        <v>27000307</v>
      </c>
      <c r="C309" t="s">
        <v>13</v>
      </c>
      <c r="D309">
        <f>_xlfn.IFNA(_xlfn.XLOOKUP(Rezultati[[#This Row],[Vpisna]], DomaceNaloge[Vpisna],DomaceNaloge[Skupaj]), 0)</f>
        <v>9</v>
      </c>
      <c r="E309">
        <f>_xlfn.IFNA(_xlfn.XLOOKUP(Rezultati[[#This Row],[Vpisna]], Izpit1[Vpisna],Izpit1[Skupaj]), "")</f>
        <v>87</v>
      </c>
      <c r="F309" t="str">
        <f>_xlfn.IFNA(_xlfn.XLOOKUP(Rezultati[[#This Row],[Vpisna]], Izpit1[Vpisna],Izpit1[Računalnik]), "")</f>
        <v>šolski</v>
      </c>
      <c r="G309" s="12" t="b">
        <v>1</v>
      </c>
      <c r="H309" t="str">
        <f>_xlfn.IFNA(_xlfn.XLOOKUP(Rezultati[[#This Row],[Vpisna]], Izpit2[Vpisna],Izpit2[Skupaj]), "")</f>
        <v/>
      </c>
      <c r="I309" t="str">
        <f>_xlfn.IFNA(_xlfn.XLOOKUP(Rezultati[[#This Row],[Vpisna]], Izpit2[Vpisna],Izpit2[Računalnik]), "")</f>
        <v/>
      </c>
      <c r="J309" s="12" t="b">
        <v>0</v>
      </c>
      <c r="K309" t="str">
        <f>_xlfn.IFNA(_xlfn.XLOOKUP(Rezultati[[#This Row],[Vpisna]], Izpit3[Vpisna],Izpit3[Skupaj]), "")</f>
        <v/>
      </c>
      <c r="L309" s="12" t="b">
        <v>0</v>
      </c>
      <c r="M309">
        <f>MAX(Rezultati[[#This Row],[1.izpit]],Rezultati[[#This Row],[2.izpit]],Rezultati[[#This Row],[3.izpit]])</f>
        <v>87</v>
      </c>
      <c r="N309"/>
      <c r="O309">
        <f>Rezultati[[#This Row],[DN]]+Rezultati[[#This Row],[Max]]+Rezultati[[#This Row],[Bonus]]</f>
        <v>96</v>
      </c>
      <c r="P309" cm="1">
        <f t="array" ref="P309">_xlfn.XLOOKUP(Rezultati[[#This Row],[Skupaj]],_xlfn.XLOOKUP(Rezultati[[#This Row],[Program]],Kriterij[[#Headers],[APF]:[PED]],Kriterij[[APF]:[PED]]), Kriterij[Ocena], "", -1, 2)</f>
        <v>10</v>
      </c>
    </row>
    <row r="310" spans="2:16" x14ac:dyDescent="0.2">
      <c r="B310">
        <v>27000308</v>
      </c>
      <c r="C310" t="s">
        <v>13</v>
      </c>
      <c r="D310">
        <f>_xlfn.IFNA(_xlfn.XLOOKUP(Rezultati[[#This Row],[Vpisna]], DomaceNaloge[Vpisna],DomaceNaloge[Skupaj]), 0)</f>
        <v>5</v>
      </c>
      <c r="E310">
        <f>_xlfn.IFNA(_xlfn.XLOOKUP(Rezultati[[#This Row],[Vpisna]], Izpit1[Vpisna],Izpit1[Skupaj]), "")</f>
        <v>99</v>
      </c>
      <c r="F310" t="str">
        <f>_xlfn.IFNA(_xlfn.XLOOKUP(Rezultati[[#This Row],[Vpisna]], Izpit1[Vpisna],Izpit1[Računalnik]), "")</f>
        <v>svoj</v>
      </c>
      <c r="G310" s="12" t="b">
        <v>1</v>
      </c>
      <c r="H310" t="str">
        <f>_xlfn.IFNA(_xlfn.XLOOKUP(Rezultati[[#This Row],[Vpisna]], Izpit2[Vpisna],Izpit2[Skupaj]), "")</f>
        <v/>
      </c>
      <c r="I310" t="str">
        <f>_xlfn.IFNA(_xlfn.XLOOKUP(Rezultati[[#This Row],[Vpisna]], Izpit2[Vpisna],Izpit2[Računalnik]), "")</f>
        <v/>
      </c>
      <c r="J310" s="12" t="b">
        <v>0</v>
      </c>
      <c r="K310" t="str">
        <f>_xlfn.IFNA(_xlfn.XLOOKUP(Rezultati[[#This Row],[Vpisna]], Izpit3[Vpisna],Izpit3[Skupaj]), "")</f>
        <v/>
      </c>
      <c r="L310" s="12" t="b">
        <v>0</v>
      </c>
      <c r="M310">
        <f>MAX(Rezultati[[#This Row],[1.izpit]],Rezultati[[#This Row],[2.izpit]],Rezultati[[#This Row],[3.izpit]])</f>
        <v>99</v>
      </c>
      <c r="N310"/>
      <c r="O310">
        <f>Rezultati[[#This Row],[DN]]+Rezultati[[#This Row],[Max]]+Rezultati[[#This Row],[Bonus]]</f>
        <v>104</v>
      </c>
      <c r="P310" cm="1">
        <f t="array" ref="P310">_xlfn.XLOOKUP(Rezultati[[#This Row],[Skupaj]],_xlfn.XLOOKUP(Rezultati[[#This Row],[Program]],Kriterij[[#Headers],[APF]:[PED]],Kriterij[[APF]:[PED]]), Kriterij[Ocena], "", -1, 2)</f>
        <v>10</v>
      </c>
    </row>
    <row r="311" spans="2:16" x14ac:dyDescent="0.2">
      <c r="B311">
        <v>27000309</v>
      </c>
      <c r="C311" t="s">
        <v>13</v>
      </c>
      <c r="D311">
        <f>_xlfn.IFNA(_xlfn.XLOOKUP(Rezultati[[#This Row],[Vpisna]], DomaceNaloge[Vpisna],DomaceNaloge[Skupaj]), 0)</f>
        <v>9</v>
      </c>
      <c r="E311">
        <f>_xlfn.IFNA(_xlfn.XLOOKUP(Rezultati[[#This Row],[Vpisna]], Izpit1[Vpisna],Izpit1[Skupaj]), "")</f>
        <v>80</v>
      </c>
      <c r="F311" t="str">
        <f>_xlfn.IFNA(_xlfn.XLOOKUP(Rezultati[[#This Row],[Vpisna]], Izpit1[Vpisna],Izpit1[Računalnik]), "")</f>
        <v>šolski</v>
      </c>
      <c r="G311" s="12" t="b">
        <v>1</v>
      </c>
      <c r="H311" t="str">
        <f>_xlfn.IFNA(_xlfn.XLOOKUP(Rezultati[[#This Row],[Vpisna]], Izpit2[Vpisna],Izpit2[Skupaj]), "")</f>
        <v/>
      </c>
      <c r="I311" t="str">
        <f>_xlfn.IFNA(_xlfn.XLOOKUP(Rezultati[[#This Row],[Vpisna]], Izpit2[Vpisna],Izpit2[Računalnik]), "")</f>
        <v/>
      </c>
      <c r="J311" s="12" t="b">
        <v>0</v>
      </c>
      <c r="K311" t="str">
        <f>_xlfn.IFNA(_xlfn.XLOOKUP(Rezultati[[#This Row],[Vpisna]], Izpit3[Vpisna],Izpit3[Skupaj]), "")</f>
        <v/>
      </c>
      <c r="L311" s="12" t="b">
        <v>0</v>
      </c>
      <c r="M311">
        <f>MAX(Rezultati[[#This Row],[1.izpit]],Rezultati[[#This Row],[2.izpit]],Rezultati[[#This Row],[3.izpit]])</f>
        <v>80</v>
      </c>
      <c r="N311"/>
      <c r="O311">
        <f>Rezultati[[#This Row],[DN]]+Rezultati[[#This Row],[Max]]+Rezultati[[#This Row],[Bonus]]</f>
        <v>89</v>
      </c>
      <c r="P311" cm="1">
        <f t="array" ref="P311">_xlfn.XLOOKUP(Rezultati[[#This Row],[Skupaj]],_xlfn.XLOOKUP(Rezultati[[#This Row],[Program]],Kriterij[[#Headers],[APF]:[PED]],Kriterij[[APF]:[PED]]), Kriterij[Ocena], "", -1, 2)</f>
        <v>10</v>
      </c>
    </row>
    <row r="312" spans="2:16" x14ac:dyDescent="0.2">
      <c r="B312">
        <v>27000310</v>
      </c>
      <c r="C312" t="s">
        <v>13</v>
      </c>
      <c r="D312">
        <f>_xlfn.IFNA(_xlfn.XLOOKUP(Rezultati[[#This Row],[Vpisna]], DomaceNaloge[Vpisna],DomaceNaloge[Skupaj]), 0)</f>
        <v>9</v>
      </c>
      <c r="E312">
        <f>_xlfn.IFNA(_xlfn.XLOOKUP(Rezultati[[#This Row],[Vpisna]], Izpit1[Vpisna],Izpit1[Skupaj]), "")</f>
        <v>80.5</v>
      </c>
      <c r="F312" t="str">
        <f>_xlfn.IFNA(_xlfn.XLOOKUP(Rezultati[[#This Row],[Vpisna]], Izpit1[Vpisna],Izpit1[Računalnik]), "")</f>
        <v>šolski</v>
      </c>
      <c r="G312" s="12" t="b">
        <v>1</v>
      </c>
      <c r="H312" t="str">
        <f>_xlfn.IFNA(_xlfn.XLOOKUP(Rezultati[[#This Row],[Vpisna]], Izpit2[Vpisna],Izpit2[Skupaj]), "")</f>
        <v/>
      </c>
      <c r="I312" t="str">
        <f>_xlfn.IFNA(_xlfn.XLOOKUP(Rezultati[[#This Row],[Vpisna]], Izpit2[Vpisna],Izpit2[Računalnik]), "")</f>
        <v/>
      </c>
      <c r="J312" s="12" t="b">
        <v>0</v>
      </c>
      <c r="K312" t="str">
        <f>_xlfn.IFNA(_xlfn.XLOOKUP(Rezultati[[#This Row],[Vpisna]], Izpit3[Vpisna],Izpit3[Skupaj]), "")</f>
        <v/>
      </c>
      <c r="L312" s="12" t="b">
        <v>0</v>
      </c>
      <c r="M312">
        <f>MAX(Rezultati[[#This Row],[1.izpit]],Rezultati[[#This Row],[2.izpit]],Rezultati[[#This Row],[3.izpit]])</f>
        <v>80.5</v>
      </c>
      <c r="N312"/>
      <c r="O312">
        <f>Rezultati[[#This Row],[DN]]+Rezultati[[#This Row],[Max]]+Rezultati[[#This Row],[Bonus]]</f>
        <v>89.5</v>
      </c>
      <c r="P312" cm="1">
        <f t="array" ref="P312">_xlfn.XLOOKUP(Rezultati[[#This Row],[Skupaj]],_xlfn.XLOOKUP(Rezultati[[#This Row],[Program]],Kriterij[[#Headers],[APF]:[PED]],Kriterij[[APF]:[PED]]), Kriterij[Ocena], "", -1, 2)</f>
        <v>10</v>
      </c>
    </row>
    <row r="313" spans="2:16" x14ac:dyDescent="0.2">
      <c r="B313">
        <v>27000311</v>
      </c>
      <c r="C313" t="s">
        <v>13</v>
      </c>
      <c r="D313">
        <f>_xlfn.IFNA(_xlfn.XLOOKUP(Rezultati[[#This Row],[Vpisna]], DomaceNaloge[Vpisna],DomaceNaloge[Skupaj]), 0)</f>
        <v>6</v>
      </c>
      <c r="E313" t="str">
        <f>_xlfn.IFNA(_xlfn.XLOOKUP(Rezultati[[#This Row],[Vpisna]], Izpit1[Vpisna],Izpit1[Skupaj]), "")</f>
        <v/>
      </c>
      <c r="F313" t="str">
        <f>_xlfn.IFNA(_xlfn.XLOOKUP(Rezultati[[#This Row],[Vpisna]], Izpit1[Vpisna],Izpit1[Računalnik]), "")</f>
        <v/>
      </c>
      <c r="G313" s="12" t="b">
        <v>0</v>
      </c>
      <c r="H313" t="str">
        <f>_xlfn.IFNA(_xlfn.XLOOKUP(Rezultati[[#This Row],[Vpisna]], Izpit2[Vpisna],Izpit2[Skupaj]), "")</f>
        <v/>
      </c>
      <c r="I313" t="str">
        <f>_xlfn.IFNA(_xlfn.XLOOKUP(Rezultati[[#This Row],[Vpisna]], Izpit2[Vpisna],Izpit2[Računalnik]), "")</f>
        <v/>
      </c>
      <c r="J313" s="12" t="b">
        <v>0</v>
      </c>
      <c r="K313" t="str">
        <f>_xlfn.IFNA(_xlfn.XLOOKUP(Rezultati[[#This Row],[Vpisna]], Izpit3[Vpisna],Izpit3[Skupaj]), "")</f>
        <v/>
      </c>
      <c r="L313" s="12" t="b">
        <v>0</v>
      </c>
      <c r="M313">
        <f>MAX(Rezultati[[#This Row],[1.izpit]],Rezultati[[#This Row],[2.izpit]],Rezultati[[#This Row],[3.izpit]])</f>
        <v>0</v>
      </c>
      <c r="N313"/>
      <c r="O313">
        <f>Rezultati[[#This Row],[DN]]+Rezultati[[#This Row],[Max]]+Rezultati[[#This Row],[Bonus]]</f>
        <v>6</v>
      </c>
      <c r="P313" cm="1">
        <f t="array" ref="P313">_xlfn.XLOOKUP(Rezultati[[#This Row],[Skupaj]],_xlfn.XLOOKUP(Rezultati[[#This Row],[Program]],Kriterij[[#Headers],[APF]:[PED]],Kriterij[[APF]:[PED]]), Kriterij[Ocena], "", -1, 2)</f>
        <v>5</v>
      </c>
    </row>
    <row r="314" spans="2:16" x14ac:dyDescent="0.2">
      <c r="B314">
        <v>27000312</v>
      </c>
      <c r="C314" t="s">
        <v>13</v>
      </c>
      <c r="D314">
        <f>_xlfn.IFNA(_xlfn.XLOOKUP(Rezultati[[#This Row],[Vpisna]], DomaceNaloge[Vpisna],DomaceNaloge[Skupaj]), 0)</f>
        <v>8</v>
      </c>
      <c r="E314">
        <f>_xlfn.IFNA(_xlfn.XLOOKUP(Rezultati[[#This Row],[Vpisna]], Izpit1[Vpisna],Izpit1[Skupaj]), "")</f>
        <v>76</v>
      </c>
      <c r="F314" t="str">
        <f>_xlfn.IFNA(_xlfn.XLOOKUP(Rezultati[[#This Row],[Vpisna]], Izpit1[Vpisna],Izpit1[Računalnik]), "")</f>
        <v>šolski</v>
      </c>
      <c r="G314" s="12" t="b">
        <v>1</v>
      </c>
      <c r="H314" t="str">
        <f>_xlfn.IFNA(_xlfn.XLOOKUP(Rezultati[[#This Row],[Vpisna]], Izpit2[Vpisna],Izpit2[Skupaj]), "")</f>
        <v/>
      </c>
      <c r="I314" t="str">
        <f>_xlfn.IFNA(_xlfn.XLOOKUP(Rezultati[[#This Row],[Vpisna]], Izpit2[Vpisna],Izpit2[Računalnik]), "")</f>
        <v/>
      </c>
      <c r="J314" s="12" t="b">
        <v>0</v>
      </c>
      <c r="K314" t="str">
        <f>_xlfn.IFNA(_xlfn.XLOOKUP(Rezultati[[#This Row],[Vpisna]], Izpit3[Vpisna],Izpit3[Skupaj]), "")</f>
        <v/>
      </c>
      <c r="L314" s="12" t="b">
        <v>0</v>
      </c>
      <c r="M314">
        <f>MAX(Rezultati[[#This Row],[1.izpit]],Rezultati[[#This Row],[2.izpit]],Rezultati[[#This Row],[3.izpit]])</f>
        <v>76</v>
      </c>
      <c r="N314"/>
      <c r="O314">
        <f>Rezultati[[#This Row],[DN]]+Rezultati[[#This Row],[Max]]+Rezultati[[#This Row],[Bonus]]</f>
        <v>84</v>
      </c>
      <c r="P314" cm="1">
        <f t="array" ref="P314">_xlfn.XLOOKUP(Rezultati[[#This Row],[Skupaj]],_xlfn.XLOOKUP(Rezultati[[#This Row],[Program]],Kriterij[[#Headers],[APF]:[PED]],Kriterij[[APF]:[PED]]), Kriterij[Ocena], "", -1, 2)</f>
        <v>9</v>
      </c>
    </row>
    <row r="315" spans="2:16" x14ac:dyDescent="0.2">
      <c r="B315">
        <v>27000313</v>
      </c>
      <c r="C315" t="s">
        <v>13</v>
      </c>
      <c r="D315">
        <f>_xlfn.IFNA(_xlfn.XLOOKUP(Rezultati[[#This Row],[Vpisna]], DomaceNaloge[Vpisna],DomaceNaloge[Skupaj]), 0)</f>
        <v>7</v>
      </c>
      <c r="E315">
        <f>_xlfn.IFNA(_xlfn.XLOOKUP(Rezultati[[#This Row],[Vpisna]], Izpit1[Vpisna],Izpit1[Skupaj]), "")</f>
        <v>87</v>
      </c>
      <c r="F315" t="str">
        <f>_xlfn.IFNA(_xlfn.XLOOKUP(Rezultati[[#This Row],[Vpisna]], Izpit1[Vpisna],Izpit1[Računalnik]), "")</f>
        <v>svoj</v>
      </c>
      <c r="G315" s="12" t="b">
        <v>1</v>
      </c>
      <c r="H315" t="str">
        <f>_xlfn.IFNA(_xlfn.XLOOKUP(Rezultati[[#This Row],[Vpisna]], Izpit2[Vpisna],Izpit2[Skupaj]), "")</f>
        <v/>
      </c>
      <c r="I315" t="str">
        <f>_xlfn.IFNA(_xlfn.XLOOKUP(Rezultati[[#This Row],[Vpisna]], Izpit2[Vpisna],Izpit2[Računalnik]), "")</f>
        <v/>
      </c>
      <c r="J315" s="12" t="b">
        <v>0</v>
      </c>
      <c r="K315" t="str">
        <f>_xlfn.IFNA(_xlfn.XLOOKUP(Rezultati[[#This Row],[Vpisna]], Izpit3[Vpisna],Izpit3[Skupaj]), "")</f>
        <v/>
      </c>
      <c r="L315" s="12" t="b">
        <v>0</v>
      </c>
      <c r="M315">
        <f>MAX(Rezultati[[#This Row],[1.izpit]],Rezultati[[#This Row],[2.izpit]],Rezultati[[#This Row],[3.izpit]])</f>
        <v>87</v>
      </c>
      <c r="N315"/>
      <c r="O315">
        <f>Rezultati[[#This Row],[DN]]+Rezultati[[#This Row],[Max]]+Rezultati[[#This Row],[Bonus]]</f>
        <v>94</v>
      </c>
      <c r="P315" cm="1">
        <f t="array" ref="P315">_xlfn.XLOOKUP(Rezultati[[#This Row],[Skupaj]],_xlfn.XLOOKUP(Rezultati[[#This Row],[Program]],Kriterij[[#Headers],[APF]:[PED]],Kriterij[[APF]:[PED]]), Kriterij[Ocena], "", -1, 2)</f>
        <v>10</v>
      </c>
    </row>
    <row r="316" spans="2:16" x14ac:dyDescent="0.2">
      <c r="B316">
        <v>27000314</v>
      </c>
      <c r="C316" t="s">
        <v>13</v>
      </c>
      <c r="D316">
        <f>_xlfn.IFNA(_xlfn.XLOOKUP(Rezultati[[#This Row],[Vpisna]], DomaceNaloge[Vpisna],DomaceNaloge[Skupaj]), 0)</f>
        <v>0</v>
      </c>
      <c r="E316" t="str">
        <f>_xlfn.IFNA(_xlfn.XLOOKUP(Rezultati[[#This Row],[Vpisna]], Izpit1[Vpisna],Izpit1[Skupaj]), "")</f>
        <v/>
      </c>
      <c r="F316" t="str">
        <f>_xlfn.IFNA(_xlfn.XLOOKUP(Rezultati[[#This Row],[Vpisna]], Izpit1[Vpisna],Izpit1[Računalnik]), "")</f>
        <v/>
      </c>
      <c r="G316" s="12" t="b">
        <v>0</v>
      </c>
      <c r="H316" t="str">
        <f>_xlfn.IFNA(_xlfn.XLOOKUP(Rezultati[[#This Row],[Vpisna]], Izpit2[Vpisna],Izpit2[Skupaj]), "")</f>
        <v/>
      </c>
      <c r="I316" t="str">
        <f>_xlfn.IFNA(_xlfn.XLOOKUP(Rezultati[[#This Row],[Vpisna]], Izpit2[Vpisna],Izpit2[Računalnik]), "")</f>
        <v/>
      </c>
      <c r="J316" s="12" t="b">
        <v>0</v>
      </c>
      <c r="K316" t="str">
        <f>_xlfn.IFNA(_xlfn.XLOOKUP(Rezultati[[#This Row],[Vpisna]], Izpit3[Vpisna],Izpit3[Skupaj]), "")</f>
        <v/>
      </c>
      <c r="L316" s="12" t="b">
        <v>0</v>
      </c>
      <c r="M316">
        <f>MAX(Rezultati[[#This Row],[1.izpit]],Rezultati[[#This Row],[2.izpit]],Rezultati[[#This Row],[3.izpit]])</f>
        <v>0</v>
      </c>
      <c r="N316"/>
      <c r="O316">
        <f>Rezultati[[#This Row],[DN]]+Rezultati[[#This Row],[Max]]+Rezultati[[#This Row],[Bonus]]</f>
        <v>0</v>
      </c>
      <c r="P316" t="str" cm="1">
        <f t="array" ref="P316">_xlfn.XLOOKUP(Rezultati[[#This Row],[Skupaj]],_xlfn.XLOOKUP(Rezultati[[#This Row],[Program]],Kriterij[[#Headers],[APF]:[PED]],Kriterij[[APF]:[PED]]), Kriterij[Ocena], "", -1, 2)</f>
        <v/>
      </c>
    </row>
    <row r="317" spans="2:16" x14ac:dyDescent="0.2">
      <c r="B317">
        <v>27000315</v>
      </c>
      <c r="C317" t="s">
        <v>13</v>
      </c>
      <c r="D317">
        <f>_xlfn.IFNA(_xlfn.XLOOKUP(Rezultati[[#This Row],[Vpisna]], DomaceNaloge[Vpisna],DomaceNaloge[Skupaj]), 0)</f>
        <v>0</v>
      </c>
      <c r="E317" t="str">
        <f>_xlfn.IFNA(_xlfn.XLOOKUP(Rezultati[[#This Row],[Vpisna]], Izpit1[Vpisna],Izpit1[Skupaj]), "")</f>
        <v/>
      </c>
      <c r="F317" t="str">
        <f>_xlfn.IFNA(_xlfn.XLOOKUP(Rezultati[[#This Row],[Vpisna]], Izpit1[Vpisna],Izpit1[Računalnik]), "")</f>
        <v/>
      </c>
      <c r="G317" s="12" t="b">
        <v>0</v>
      </c>
      <c r="H317" t="str">
        <f>_xlfn.IFNA(_xlfn.XLOOKUP(Rezultati[[#This Row],[Vpisna]], Izpit2[Vpisna],Izpit2[Skupaj]), "")</f>
        <v/>
      </c>
      <c r="I317" t="str">
        <f>_xlfn.IFNA(_xlfn.XLOOKUP(Rezultati[[#This Row],[Vpisna]], Izpit2[Vpisna],Izpit2[Računalnik]), "")</f>
        <v/>
      </c>
      <c r="J317" s="12" t="b">
        <v>0</v>
      </c>
      <c r="K317" t="str">
        <f>_xlfn.IFNA(_xlfn.XLOOKUP(Rezultati[[#This Row],[Vpisna]], Izpit3[Vpisna],Izpit3[Skupaj]), "")</f>
        <v/>
      </c>
      <c r="L317" s="12" t="b">
        <v>0</v>
      </c>
      <c r="M317">
        <f>MAX(Rezultati[[#This Row],[1.izpit]],Rezultati[[#This Row],[2.izpit]],Rezultati[[#This Row],[3.izpit]])</f>
        <v>0</v>
      </c>
      <c r="N317"/>
      <c r="O317">
        <f>Rezultati[[#This Row],[DN]]+Rezultati[[#This Row],[Max]]+Rezultati[[#This Row],[Bonus]]</f>
        <v>0</v>
      </c>
      <c r="P317" t="str" cm="1">
        <f t="array" ref="P317">_xlfn.XLOOKUP(Rezultati[[#This Row],[Skupaj]],_xlfn.XLOOKUP(Rezultati[[#This Row],[Program]],Kriterij[[#Headers],[APF]:[PED]],Kriterij[[APF]:[PED]]), Kriterij[Ocena], "", -1, 2)</f>
        <v/>
      </c>
    </row>
    <row r="318" spans="2:16" x14ac:dyDescent="0.2">
      <c r="B318">
        <v>27000316</v>
      </c>
      <c r="C318" t="s">
        <v>13</v>
      </c>
      <c r="D318">
        <f>_xlfn.IFNA(_xlfn.XLOOKUP(Rezultati[[#This Row],[Vpisna]], DomaceNaloge[Vpisna],DomaceNaloge[Skupaj]), 0)</f>
        <v>7</v>
      </c>
      <c r="E318">
        <f>_xlfn.IFNA(_xlfn.XLOOKUP(Rezultati[[#This Row],[Vpisna]], Izpit1[Vpisna],Izpit1[Skupaj]), "")</f>
        <v>35.5</v>
      </c>
      <c r="F318" t="str">
        <f>_xlfn.IFNA(_xlfn.XLOOKUP(Rezultati[[#This Row],[Vpisna]], Izpit1[Vpisna],Izpit1[Računalnik]), "")</f>
        <v>šolski</v>
      </c>
      <c r="G318" s="12" t="b">
        <v>1</v>
      </c>
      <c r="H318" t="str">
        <f>_xlfn.IFNA(_xlfn.XLOOKUP(Rezultati[[#This Row],[Vpisna]], Izpit2[Vpisna],Izpit2[Skupaj]), "")</f>
        <v/>
      </c>
      <c r="I318" t="str">
        <f>_xlfn.IFNA(_xlfn.XLOOKUP(Rezultati[[#This Row],[Vpisna]], Izpit2[Vpisna],Izpit2[Računalnik]), "")</f>
        <v/>
      </c>
      <c r="J318" s="12" t="b">
        <v>0</v>
      </c>
      <c r="K318" t="str">
        <f>_xlfn.IFNA(_xlfn.XLOOKUP(Rezultati[[#This Row],[Vpisna]], Izpit3[Vpisna],Izpit3[Skupaj]), "")</f>
        <v/>
      </c>
      <c r="L318" s="12" t="b">
        <v>0</v>
      </c>
      <c r="M318">
        <f>MAX(Rezultati[[#This Row],[1.izpit]],Rezultati[[#This Row],[2.izpit]],Rezultati[[#This Row],[3.izpit]])</f>
        <v>35.5</v>
      </c>
      <c r="N318"/>
      <c r="O318">
        <f>Rezultati[[#This Row],[DN]]+Rezultati[[#This Row],[Max]]+Rezultati[[#This Row],[Bonus]]</f>
        <v>42.5</v>
      </c>
      <c r="P318" cm="1">
        <f t="array" ref="P318">_xlfn.XLOOKUP(Rezultati[[#This Row],[Skupaj]],_xlfn.XLOOKUP(Rezultati[[#This Row],[Program]],Kriterij[[#Headers],[APF]:[PED]],Kriterij[[APF]:[PED]]), Kriterij[Ocena], "", -1, 2)</f>
        <v>5</v>
      </c>
    </row>
    <row r="319" spans="2:16" x14ac:dyDescent="0.2">
      <c r="B319">
        <v>27000317</v>
      </c>
      <c r="C319" t="s">
        <v>13</v>
      </c>
      <c r="D319">
        <f>_xlfn.IFNA(_xlfn.XLOOKUP(Rezultati[[#This Row],[Vpisna]], DomaceNaloge[Vpisna],DomaceNaloge[Skupaj]), 0)</f>
        <v>6</v>
      </c>
      <c r="E319">
        <f>_xlfn.IFNA(_xlfn.XLOOKUP(Rezultati[[#This Row],[Vpisna]], Izpit1[Vpisna],Izpit1[Skupaj]), "")</f>
        <v>70</v>
      </c>
      <c r="F319" t="str">
        <f>_xlfn.IFNA(_xlfn.XLOOKUP(Rezultati[[#This Row],[Vpisna]], Izpit1[Vpisna],Izpit1[Računalnik]), "")</f>
        <v>šolski</v>
      </c>
      <c r="G319" s="12" t="b">
        <v>1</v>
      </c>
      <c r="H319" t="str">
        <f>_xlfn.IFNA(_xlfn.XLOOKUP(Rezultati[[#This Row],[Vpisna]], Izpit2[Vpisna],Izpit2[Skupaj]), "")</f>
        <v/>
      </c>
      <c r="I319" t="str">
        <f>_xlfn.IFNA(_xlfn.XLOOKUP(Rezultati[[#This Row],[Vpisna]], Izpit2[Vpisna],Izpit2[Računalnik]), "")</f>
        <v/>
      </c>
      <c r="J319" s="12" t="b">
        <v>0</v>
      </c>
      <c r="K319" t="str">
        <f>_xlfn.IFNA(_xlfn.XLOOKUP(Rezultati[[#This Row],[Vpisna]], Izpit3[Vpisna],Izpit3[Skupaj]), "")</f>
        <v/>
      </c>
      <c r="L319" s="12" t="b">
        <v>0</v>
      </c>
      <c r="M319">
        <f>MAX(Rezultati[[#This Row],[1.izpit]],Rezultati[[#This Row],[2.izpit]],Rezultati[[#This Row],[3.izpit]])</f>
        <v>70</v>
      </c>
      <c r="N319"/>
      <c r="O319">
        <f>Rezultati[[#This Row],[DN]]+Rezultati[[#This Row],[Max]]+Rezultati[[#This Row],[Bonus]]</f>
        <v>76</v>
      </c>
      <c r="P319" cm="1">
        <f t="array" ref="P319">_xlfn.XLOOKUP(Rezultati[[#This Row],[Skupaj]],_xlfn.XLOOKUP(Rezultati[[#This Row],[Program]],Kriterij[[#Headers],[APF]:[PED]],Kriterij[[APF]:[PED]]), Kriterij[Ocena], "", -1, 2)</f>
        <v>9</v>
      </c>
    </row>
    <row r="320" spans="2:16" x14ac:dyDescent="0.2">
      <c r="B320">
        <v>27000318</v>
      </c>
      <c r="C320" t="s">
        <v>13</v>
      </c>
      <c r="D320">
        <f>_xlfn.IFNA(_xlfn.XLOOKUP(Rezultati[[#This Row],[Vpisna]], DomaceNaloge[Vpisna],DomaceNaloge[Skupaj]), 0)</f>
        <v>6</v>
      </c>
      <c r="E320">
        <f>_xlfn.IFNA(_xlfn.XLOOKUP(Rezultati[[#This Row],[Vpisna]], Izpit1[Vpisna],Izpit1[Skupaj]), "")</f>
        <v>35</v>
      </c>
      <c r="F320" t="str">
        <f>_xlfn.IFNA(_xlfn.XLOOKUP(Rezultati[[#This Row],[Vpisna]], Izpit1[Vpisna],Izpit1[Računalnik]), "")</f>
        <v>šolski</v>
      </c>
      <c r="G320" s="12" t="b">
        <v>1</v>
      </c>
      <c r="H320" t="str">
        <f>_xlfn.IFNA(_xlfn.XLOOKUP(Rezultati[[#This Row],[Vpisna]], Izpit2[Vpisna],Izpit2[Skupaj]), "")</f>
        <v/>
      </c>
      <c r="I320" t="str">
        <f>_xlfn.IFNA(_xlfn.XLOOKUP(Rezultati[[#This Row],[Vpisna]], Izpit2[Vpisna],Izpit2[Računalnik]), "")</f>
        <v/>
      </c>
      <c r="J320" s="12" t="b">
        <v>0</v>
      </c>
      <c r="K320" t="str">
        <f>_xlfn.IFNA(_xlfn.XLOOKUP(Rezultati[[#This Row],[Vpisna]], Izpit3[Vpisna],Izpit3[Skupaj]), "")</f>
        <v/>
      </c>
      <c r="L320" s="12" t="b">
        <v>0</v>
      </c>
      <c r="M320">
        <f>MAX(Rezultati[[#This Row],[1.izpit]],Rezultati[[#This Row],[2.izpit]],Rezultati[[#This Row],[3.izpit]])</f>
        <v>35</v>
      </c>
      <c r="N320"/>
      <c r="O320">
        <f>Rezultati[[#This Row],[DN]]+Rezultati[[#This Row],[Max]]+Rezultati[[#This Row],[Bonus]]</f>
        <v>41</v>
      </c>
      <c r="P320" cm="1">
        <f t="array" ref="P320">_xlfn.XLOOKUP(Rezultati[[#This Row],[Skupaj]],_xlfn.XLOOKUP(Rezultati[[#This Row],[Program]],Kriterij[[#Headers],[APF]:[PED]],Kriterij[[APF]:[PED]]), Kriterij[Ocena], "", -1, 2)</f>
        <v>5</v>
      </c>
    </row>
    <row r="321" spans="2:16" x14ac:dyDescent="0.2">
      <c r="B321">
        <v>27000319</v>
      </c>
      <c r="C321" t="s">
        <v>13</v>
      </c>
      <c r="D321">
        <f>_xlfn.IFNA(_xlfn.XLOOKUP(Rezultati[[#This Row],[Vpisna]], DomaceNaloge[Vpisna],DomaceNaloge[Skupaj]), 0)</f>
        <v>7</v>
      </c>
      <c r="E321">
        <f>_xlfn.IFNA(_xlfn.XLOOKUP(Rezultati[[#This Row],[Vpisna]], Izpit1[Vpisna],Izpit1[Skupaj]), "")</f>
        <v>24</v>
      </c>
      <c r="F321" t="str">
        <f>_xlfn.IFNA(_xlfn.XLOOKUP(Rezultati[[#This Row],[Vpisna]], Izpit1[Vpisna],Izpit1[Računalnik]), "")</f>
        <v>šolski</v>
      </c>
      <c r="G321" s="12" t="b">
        <v>1</v>
      </c>
      <c r="H321">
        <f>_xlfn.IFNA(_xlfn.XLOOKUP(Rezultati[[#This Row],[Vpisna]], Izpit2[Vpisna],Izpit2[Skupaj]), "")</f>
        <v>47</v>
      </c>
      <c r="I321" t="str">
        <f>_xlfn.IFNA(_xlfn.XLOOKUP(Rezultati[[#This Row],[Vpisna]], Izpit2[Vpisna],Izpit2[Računalnik]), "")</f>
        <v>šolski</v>
      </c>
      <c r="J321" s="12" t="b">
        <v>1</v>
      </c>
      <c r="K321" t="str">
        <f>_xlfn.IFNA(_xlfn.XLOOKUP(Rezultati[[#This Row],[Vpisna]], Izpit3[Vpisna],Izpit3[Skupaj]), "")</f>
        <v/>
      </c>
      <c r="L321" s="12" t="b">
        <v>0</v>
      </c>
      <c r="M321">
        <f>MAX(Rezultati[[#This Row],[1.izpit]],Rezultati[[#This Row],[2.izpit]],Rezultati[[#This Row],[3.izpit]])</f>
        <v>47</v>
      </c>
      <c r="N321"/>
      <c r="O321">
        <f>Rezultati[[#This Row],[DN]]+Rezultati[[#This Row],[Max]]+Rezultati[[#This Row],[Bonus]]</f>
        <v>54</v>
      </c>
      <c r="P321" cm="1">
        <f t="array" ref="P321">_xlfn.XLOOKUP(Rezultati[[#This Row],[Skupaj]],_xlfn.XLOOKUP(Rezultati[[#This Row],[Program]],Kriterij[[#Headers],[APF]:[PED]],Kriterij[[APF]:[PED]]), Kriterij[Ocena], "", -1, 2)</f>
        <v>6</v>
      </c>
    </row>
    <row r="322" spans="2:16" x14ac:dyDescent="0.2">
      <c r="B322">
        <v>27000320</v>
      </c>
      <c r="C322" t="s">
        <v>13</v>
      </c>
      <c r="D322">
        <f>_xlfn.IFNA(_xlfn.XLOOKUP(Rezultati[[#This Row],[Vpisna]], DomaceNaloge[Vpisna],DomaceNaloge[Skupaj]), 0)</f>
        <v>7</v>
      </c>
      <c r="E322" t="str">
        <f>_xlfn.IFNA(_xlfn.XLOOKUP(Rezultati[[#This Row],[Vpisna]], Izpit1[Vpisna],Izpit1[Skupaj]), "")</f>
        <v/>
      </c>
      <c r="F322" t="str">
        <f>_xlfn.IFNA(_xlfn.XLOOKUP(Rezultati[[#This Row],[Vpisna]], Izpit1[Vpisna],Izpit1[Računalnik]), "")</f>
        <v/>
      </c>
      <c r="G322" s="12" t="b">
        <v>0</v>
      </c>
      <c r="H322">
        <f>_xlfn.IFNA(_xlfn.XLOOKUP(Rezultati[[#This Row],[Vpisna]], Izpit2[Vpisna],Izpit2[Skupaj]), "")</f>
        <v>0</v>
      </c>
      <c r="I322" t="str">
        <f>_xlfn.IFNA(_xlfn.XLOOKUP(Rezultati[[#This Row],[Vpisna]], Izpit2[Vpisna],Izpit2[Računalnik]), "")</f>
        <v>svoj</v>
      </c>
      <c r="J322" s="12" t="b">
        <v>1</v>
      </c>
      <c r="K322" t="str">
        <f>_xlfn.IFNA(_xlfn.XLOOKUP(Rezultati[[#This Row],[Vpisna]], Izpit3[Vpisna],Izpit3[Skupaj]), "")</f>
        <v/>
      </c>
      <c r="L322" s="12" t="b">
        <v>0</v>
      </c>
      <c r="M322">
        <f>MAX(Rezultati[[#This Row],[1.izpit]],Rezultati[[#This Row],[2.izpit]],Rezultati[[#This Row],[3.izpit]])</f>
        <v>0</v>
      </c>
      <c r="N322"/>
      <c r="O322">
        <f>Rezultati[[#This Row],[DN]]+Rezultati[[#This Row],[Max]]+Rezultati[[#This Row],[Bonus]]</f>
        <v>7</v>
      </c>
      <c r="P322" cm="1">
        <f t="array" ref="P322">_xlfn.XLOOKUP(Rezultati[[#This Row],[Skupaj]],_xlfn.XLOOKUP(Rezultati[[#This Row],[Program]],Kriterij[[#Headers],[APF]:[PED]],Kriterij[[APF]:[PED]]), Kriterij[Ocena], "", -1, 2)</f>
        <v>5</v>
      </c>
    </row>
  </sheetData>
  <conditionalFormatting sqref="F1 I1:J1 G2:G322 J2:J322 F323:F1048576 I323:J1048576">
    <cfRule type="expression" dxfId="3" priority="1">
      <formula>AND(E1&lt;&gt;"", NOT(F1))</formula>
    </cfRule>
    <cfRule type="expression" dxfId="2" priority="3">
      <formula>AND(E1&lt;&gt;"", F1)</formula>
    </cfRule>
  </conditionalFormatting>
  <conditionalFormatting sqref="L2:L322">
    <cfRule type="expression" dxfId="1" priority="6" stopIfTrue="1">
      <formula>AND(K2&lt;&gt;"", NOT(L2))</formula>
    </cfRule>
    <cfRule type="expression" dxfId="0" priority="7" stopIfTrue="1">
      <formula>AND(K2&lt;&gt;"", L2)</formula>
    </cfRule>
  </conditionalFormatting>
  <pageMargins left="0.7" right="0.7" top="0.75" bottom="0.75" header="0.3" footer="0.3"/>
  <pageSetup paperSize="9" scale="38" fitToHeight="2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E727-51B3-AE4E-8F84-D9E490BBE018}">
  <dimension ref="B2:L38"/>
  <sheetViews>
    <sheetView tabSelected="1" zoomScale="150" zoomScaleNormal="150" workbookViewId="0">
      <selection activeCell="L19" sqref="L19"/>
    </sheetView>
  </sheetViews>
  <sheetFormatPr baseColWidth="10" defaultRowHeight="15" x14ac:dyDescent="0.2"/>
  <cols>
    <col min="1" max="1" width="13.1640625" bestFit="1" customWidth="1"/>
    <col min="2" max="2" width="13.33203125" bestFit="1" customWidth="1"/>
    <col min="3" max="3" width="14.83203125" bestFit="1" customWidth="1"/>
    <col min="4" max="4" width="5" bestFit="1" customWidth="1"/>
    <col min="5" max="5" width="4.1640625" bestFit="1" customWidth="1"/>
    <col min="6" max="6" width="4.83203125" bestFit="1" customWidth="1"/>
    <col min="7" max="7" width="4.1640625" bestFit="1" customWidth="1"/>
    <col min="8" max="8" width="10.1640625" bestFit="1" customWidth="1"/>
    <col min="9" max="9" width="4.83203125" bestFit="1" customWidth="1"/>
    <col min="10" max="10" width="5" bestFit="1" customWidth="1"/>
    <col min="11" max="11" width="3.6640625" bestFit="1" customWidth="1"/>
    <col min="12" max="12" width="10.1640625" bestFit="1" customWidth="1"/>
    <col min="13" max="13" width="4.1640625" bestFit="1" customWidth="1"/>
    <col min="14" max="14" width="6.33203125" bestFit="1" customWidth="1"/>
    <col min="15" max="15" width="4.83203125" bestFit="1" customWidth="1"/>
    <col min="16" max="16" width="5" bestFit="1" customWidth="1"/>
    <col min="17" max="17" width="3.6640625" bestFit="1" customWidth="1"/>
    <col min="18" max="18" width="4.83203125" bestFit="1" customWidth="1"/>
    <col min="19" max="19" width="6.33203125" bestFit="1" customWidth="1"/>
    <col min="20" max="20" width="4.83203125" bestFit="1" customWidth="1"/>
    <col min="21" max="21" width="5" bestFit="1" customWidth="1"/>
    <col min="22" max="22" width="3.6640625" bestFit="1" customWidth="1"/>
    <col min="23" max="23" width="4.83203125" bestFit="1" customWidth="1"/>
    <col min="24" max="24" width="6.33203125" bestFit="1" customWidth="1"/>
    <col min="25" max="25" width="5" bestFit="1" customWidth="1"/>
    <col min="26" max="26" width="3.6640625" bestFit="1" customWidth="1"/>
    <col min="27" max="27" width="4.83203125" bestFit="1" customWidth="1"/>
    <col min="28" max="28" width="4.1640625" bestFit="1" customWidth="1"/>
    <col min="29" max="29" width="6.33203125" bestFit="1" customWidth="1"/>
    <col min="30" max="30" width="5.83203125" bestFit="1" customWidth="1"/>
    <col min="31" max="31" width="3.6640625" bestFit="1" customWidth="1"/>
    <col min="32" max="32" width="4.83203125" bestFit="1" customWidth="1"/>
    <col min="33" max="33" width="4.1640625" bestFit="1" customWidth="1"/>
    <col min="34" max="34" width="7.33203125" bestFit="1" customWidth="1"/>
    <col min="35" max="35" width="4.1640625" bestFit="1" customWidth="1"/>
    <col min="36" max="36" width="5" bestFit="1" customWidth="1"/>
    <col min="37" max="37" width="3.6640625" bestFit="1" customWidth="1"/>
    <col min="38" max="38" width="4.83203125" bestFit="1" customWidth="1"/>
    <col min="39" max="39" width="4.1640625" bestFit="1" customWidth="1"/>
    <col min="40" max="40" width="5.33203125" bestFit="1" customWidth="1"/>
    <col min="41" max="41" width="10.1640625" bestFit="1" customWidth="1"/>
    <col min="42" max="42" width="5.83203125" bestFit="1" customWidth="1"/>
    <col min="43" max="43" width="7.33203125" bestFit="1" customWidth="1"/>
    <col min="44" max="44" width="6.33203125" bestFit="1" customWidth="1"/>
    <col min="45" max="47" width="4.83203125" bestFit="1" customWidth="1"/>
    <col min="48" max="48" width="6.33203125" bestFit="1" customWidth="1"/>
    <col min="49" max="50" width="5" bestFit="1" customWidth="1"/>
    <col min="51" max="51" width="6.33203125" bestFit="1" customWidth="1"/>
    <col min="52" max="54" width="4.83203125" bestFit="1" customWidth="1"/>
    <col min="55" max="55" width="6.33203125" bestFit="1" customWidth="1"/>
    <col min="56" max="58" width="5" bestFit="1" customWidth="1"/>
    <col min="59" max="59" width="6.33203125" bestFit="1" customWidth="1"/>
    <col min="60" max="60" width="4.83203125" bestFit="1" customWidth="1"/>
    <col min="61" max="61" width="6.33203125" bestFit="1" customWidth="1"/>
    <col min="62" max="62" width="5.83203125" bestFit="1" customWidth="1"/>
    <col min="63" max="63" width="7.33203125" bestFit="1" customWidth="1"/>
    <col min="64" max="64" width="6.33203125" bestFit="1" customWidth="1"/>
    <col min="65" max="67" width="4.83203125" bestFit="1" customWidth="1"/>
    <col min="68" max="68" width="6.33203125" bestFit="1" customWidth="1"/>
    <col min="69" max="70" width="5" bestFit="1" customWidth="1"/>
    <col min="71" max="71" width="6.33203125" bestFit="1" customWidth="1"/>
    <col min="72" max="73" width="4.83203125" bestFit="1" customWidth="1"/>
    <col min="74" max="74" width="6.33203125" bestFit="1" customWidth="1"/>
    <col min="75" max="75" width="4.83203125" bestFit="1" customWidth="1"/>
    <col min="76" max="76" width="6.33203125" bestFit="1" customWidth="1"/>
    <col min="77" max="78" width="4.83203125" bestFit="1" customWidth="1"/>
    <col min="79" max="79" width="6.33203125" bestFit="1" customWidth="1"/>
    <col min="80" max="82" width="5.83203125" bestFit="1" customWidth="1"/>
    <col min="83" max="83" width="7.33203125" bestFit="1" customWidth="1"/>
    <col min="84" max="84" width="6.33203125" bestFit="1" customWidth="1"/>
    <col min="85" max="87" width="5" bestFit="1" customWidth="1"/>
    <col min="88" max="88" width="6.33203125" bestFit="1" customWidth="1"/>
    <col min="89" max="89" width="4.83203125" bestFit="1" customWidth="1"/>
    <col min="90" max="90" width="6.33203125" bestFit="1" customWidth="1"/>
    <col min="91" max="93" width="5" bestFit="1" customWidth="1"/>
    <col min="94" max="94" width="6.33203125" bestFit="1" customWidth="1"/>
    <col min="95" max="97" width="5" bestFit="1" customWidth="1"/>
    <col min="98" max="98" width="6.33203125" bestFit="1" customWidth="1"/>
    <col min="99" max="102" width="5" bestFit="1" customWidth="1"/>
    <col min="103" max="103" width="6.33203125" bestFit="1" customWidth="1"/>
    <col min="104" max="106" width="5.83203125" bestFit="1" customWidth="1"/>
    <col min="107" max="107" width="7.33203125" bestFit="1" customWidth="1"/>
    <col min="108" max="108" width="6.33203125" bestFit="1" customWidth="1"/>
    <col min="109" max="109" width="4.83203125" bestFit="1" customWidth="1"/>
    <col min="110" max="110" width="6.33203125" bestFit="1" customWidth="1"/>
    <col min="111" max="112" width="4.83203125" bestFit="1" customWidth="1"/>
    <col min="113" max="113" width="6.33203125" bestFit="1" customWidth="1"/>
    <col min="114" max="114" width="4.83203125" bestFit="1" customWidth="1"/>
    <col min="115" max="115" width="6.33203125" bestFit="1" customWidth="1"/>
    <col min="116" max="119" width="5.83203125" bestFit="1" customWidth="1"/>
    <col min="120" max="120" width="7.33203125" bestFit="1" customWidth="1"/>
    <col min="121" max="121" width="6.33203125" bestFit="1" customWidth="1"/>
    <col min="122" max="124" width="5.83203125" bestFit="1" customWidth="1"/>
    <col min="125" max="126" width="7.33203125" bestFit="1" customWidth="1"/>
    <col min="127" max="127" width="10.1640625" bestFit="1" customWidth="1"/>
  </cols>
  <sheetData>
    <row r="2" spans="2:12" x14ac:dyDescent="0.2">
      <c r="B2" t="s">
        <v>54</v>
      </c>
    </row>
    <row r="3" spans="2:12" x14ac:dyDescent="0.2">
      <c r="B3" s="4" t="s">
        <v>48</v>
      </c>
      <c r="C3" s="4" t="s">
        <v>53</v>
      </c>
    </row>
    <row r="4" spans="2:12" x14ac:dyDescent="0.2">
      <c r="B4" s="4" t="s">
        <v>52</v>
      </c>
      <c r="C4">
        <v>0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26</v>
      </c>
    </row>
    <row r="5" spans="2:12" x14ac:dyDescent="0.2">
      <c r="B5" s="5">
        <v>5</v>
      </c>
      <c r="C5" s="17">
        <v>3</v>
      </c>
      <c r="D5" s="17">
        <v>4</v>
      </c>
      <c r="E5" s="17">
        <v>8</v>
      </c>
      <c r="F5" s="17">
        <v>3</v>
      </c>
      <c r="G5" s="17">
        <v>5</v>
      </c>
      <c r="H5" s="17">
        <v>4</v>
      </c>
      <c r="I5" s="17">
        <v>8</v>
      </c>
      <c r="J5" s="17"/>
      <c r="K5" s="17"/>
      <c r="L5" s="17">
        <v>35</v>
      </c>
    </row>
    <row r="6" spans="2:12" x14ac:dyDescent="0.2">
      <c r="B6" s="5">
        <v>6</v>
      </c>
      <c r="C6" s="17">
        <v>1</v>
      </c>
      <c r="D6" s="17"/>
      <c r="E6" s="17"/>
      <c r="F6" s="17">
        <v>2</v>
      </c>
      <c r="G6" s="17">
        <v>2</v>
      </c>
      <c r="H6" s="17">
        <v>2</v>
      </c>
      <c r="I6" s="17">
        <v>2</v>
      </c>
      <c r="J6" s="17">
        <v>1</v>
      </c>
      <c r="K6" s="17"/>
      <c r="L6" s="17">
        <v>10</v>
      </c>
    </row>
    <row r="7" spans="2:12" x14ac:dyDescent="0.2">
      <c r="B7" s="5">
        <v>7</v>
      </c>
      <c r="C7" s="17"/>
      <c r="D7" s="17">
        <v>1</v>
      </c>
      <c r="E7" s="17"/>
      <c r="F7" s="17"/>
      <c r="G7" s="17">
        <v>5</v>
      </c>
      <c r="H7" s="17">
        <v>5</v>
      </c>
      <c r="I7" s="17">
        <v>9</v>
      </c>
      <c r="J7" s="17"/>
      <c r="K7" s="17"/>
      <c r="L7" s="17">
        <v>20</v>
      </c>
    </row>
    <row r="8" spans="2:12" x14ac:dyDescent="0.2">
      <c r="B8" s="5">
        <v>8</v>
      </c>
      <c r="C8" s="17">
        <v>2</v>
      </c>
      <c r="D8" s="17"/>
      <c r="E8" s="17">
        <v>2</v>
      </c>
      <c r="F8" s="17">
        <v>2</v>
      </c>
      <c r="G8" s="17">
        <v>5</v>
      </c>
      <c r="H8" s="17">
        <v>5</v>
      </c>
      <c r="I8" s="17">
        <v>8</v>
      </c>
      <c r="J8" s="17">
        <v>3</v>
      </c>
      <c r="K8" s="17"/>
      <c r="L8" s="17">
        <v>27</v>
      </c>
    </row>
    <row r="9" spans="2:12" x14ac:dyDescent="0.2">
      <c r="B9" s="5">
        <v>9</v>
      </c>
      <c r="C9" s="17"/>
      <c r="D9" s="17"/>
      <c r="E9" s="17"/>
      <c r="F9" s="17">
        <v>1</v>
      </c>
      <c r="G9" s="17">
        <v>1</v>
      </c>
      <c r="H9" s="17">
        <v>2</v>
      </c>
      <c r="I9" s="17">
        <v>11</v>
      </c>
      <c r="J9" s="17">
        <v>3</v>
      </c>
      <c r="K9" s="17"/>
      <c r="L9" s="17">
        <v>18</v>
      </c>
    </row>
    <row r="10" spans="2:12" x14ac:dyDescent="0.2">
      <c r="B10" s="5">
        <v>10</v>
      </c>
      <c r="C10" s="17"/>
      <c r="D10" s="17"/>
      <c r="E10" s="17"/>
      <c r="F10" s="17">
        <v>1</v>
      </c>
      <c r="G10" s="17">
        <v>1</v>
      </c>
      <c r="H10" s="17">
        <v>5</v>
      </c>
      <c r="I10" s="17">
        <v>14</v>
      </c>
      <c r="J10" s="17">
        <v>36</v>
      </c>
      <c r="K10" s="17">
        <v>10</v>
      </c>
      <c r="L10" s="17">
        <v>67</v>
      </c>
    </row>
    <row r="11" spans="2:12" x14ac:dyDescent="0.2">
      <c r="B11" s="5"/>
      <c r="C11" s="17">
        <v>143</v>
      </c>
      <c r="D11" s="17"/>
      <c r="E11" s="17"/>
      <c r="F11" s="17"/>
      <c r="G11" s="17"/>
      <c r="H11" s="17"/>
      <c r="I11" s="17"/>
      <c r="J11" s="17"/>
      <c r="K11" s="17"/>
      <c r="L11" s="17">
        <v>143</v>
      </c>
    </row>
    <row r="12" spans="2:12" x14ac:dyDescent="0.2">
      <c r="B12" s="5" t="s">
        <v>26</v>
      </c>
      <c r="C12" s="17">
        <v>149</v>
      </c>
      <c r="D12" s="17">
        <v>5</v>
      </c>
      <c r="E12" s="17">
        <v>10</v>
      </c>
      <c r="F12" s="17">
        <v>9</v>
      </c>
      <c r="G12" s="17">
        <v>19</v>
      </c>
      <c r="H12" s="17">
        <v>23</v>
      </c>
      <c r="I12" s="17">
        <v>52</v>
      </c>
      <c r="J12" s="17">
        <v>43</v>
      </c>
      <c r="K12" s="17">
        <v>10</v>
      </c>
      <c r="L12" s="17">
        <v>320</v>
      </c>
    </row>
    <row r="14" spans="2:12" x14ac:dyDescent="0.2">
      <c r="B14" t="s">
        <v>55</v>
      </c>
    </row>
    <row r="15" spans="2:12" x14ac:dyDescent="0.2">
      <c r="B15" s="4" t="s">
        <v>48</v>
      </c>
      <c r="C15" s="4" t="s">
        <v>53</v>
      </c>
    </row>
    <row r="16" spans="2:12" x14ac:dyDescent="0.2">
      <c r="B16" s="4" t="s">
        <v>52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  <c r="H16" t="s">
        <v>26</v>
      </c>
    </row>
    <row r="17" spans="2:8" x14ac:dyDescent="0.2">
      <c r="B17" s="5">
        <v>0</v>
      </c>
      <c r="C17" s="17">
        <v>20</v>
      </c>
      <c r="D17" s="17">
        <v>37</v>
      </c>
      <c r="E17" s="17">
        <v>51</v>
      </c>
      <c r="F17" s="17">
        <v>38</v>
      </c>
      <c r="G17" s="17">
        <v>3</v>
      </c>
      <c r="H17" s="17">
        <v>149</v>
      </c>
    </row>
    <row r="18" spans="2:8" x14ac:dyDescent="0.2">
      <c r="B18" s="5">
        <v>3</v>
      </c>
      <c r="C18" s="17"/>
      <c r="D18" s="17">
        <v>4</v>
      </c>
      <c r="E18" s="17"/>
      <c r="F18" s="17">
        <v>1</v>
      </c>
      <c r="G18" s="17"/>
      <c r="H18" s="17">
        <v>5</v>
      </c>
    </row>
    <row r="19" spans="2:8" x14ac:dyDescent="0.2">
      <c r="B19" s="5">
        <v>4</v>
      </c>
      <c r="C19" s="17">
        <v>2</v>
      </c>
      <c r="D19" s="17">
        <v>1</v>
      </c>
      <c r="E19" s="17">
        <v>1</v>
      </c>
      <c r="F19" s="17">
        <v>6</v>
      </c>
      <c r="G19" s="17"/>
      <c r="H19" s="17">
        <v>10</v>
      </c>
    </row>
    <row r="20" spans="2:8" x14ac:dyDescent="0.2">
      <c r="B20" s="5">
        <v>5</v>
      </c>
      <c r="C20" s="17">
        <v>2</v>
      </c>
      <c r="D20" s="17">
        <v>2</v>
      </c>
      <c r="E20" s="17">
        <v>1</v>
      </c>
      <c r="F20" s="17">
        <v>3</v>
      </c>
      <c r="G20" s="17">
        <v>1</v>
      </c>
      <c r="H20" s="17">
        <v>9</v>
      </c>
    </row>
    <row r="21" spans="2:8" x14ac:dyDescent="0.2">
      <c r="B21" s="5">
        <v>6</v>
      </c>
      <c r="C21" s="17">
        <v>5</v>
      </c>
      <c r="D21" s="17">
        <v>2</v>
      </c>
      <c r="E21" s="17">
        <v>4</v>
      </c>
      <c r="F21" s="17">
        <v>5</v>
      </c>
      <c r="G21" s="17">
        <v>3</v>
      </c>
      <c r="H21" s="17">
        <v>19</v>
      </c>
    </row>
    <row r="22" spans="2:8" x14ac:dyDescent="0.2">
      <c r="B22" s="5">
        <v>7</v>
      </c>
      <c r="C22" s="17">
        <v>1</v>
      </c>
      <c r="D22" s="17">
        <v>1</v>
      </c>
      <c r="E22" s="17">
        <v>9</v>
      </c>
      <c r="F22" s="17">
        <v>8</v>
      </c>
      <c r="G22" s="17">
        <v>4</v>
      </c>
      <c r="H22" s="17">
        <v>23</v>
      </c>
    </row>
    <row r="23" spans="2:8" x14ac:dyDescent="0.2">
      <c r="B23" s="5">
        <v>8</v>
      </c>
      <c r="C23" s="17"/>
      <c r="D23" s="17">
        <v>7</v>
      </c>
      <c r="E23" s="17">
        <v>28</v>
      </c>
      <c r="F23" s="17">
        <v>16</v>
      </c>
      <c r="G23" s="17">
        <v>1</v>
      </c>
      <c r="H23" s="17">
        <v>52</v>
      </c>
    </row>
    <row r="24" spans="2:8" x14ac:dyDescent="0.2">
      <c r="B24" s="5">
        <v>9</v>
      </c>
      <c r="C24" s="17"/>
      <c r="D24" s="17">
        <v>2</v>
      </c>
      <c r="E24" s="17">
        <v>25</v>
      </c>
      <c r="F24" s="17">
        <v>13</v>
      </c>
      <c r="G24" s="17">
        <v>3</v>
      </c>
      <c r="H24" s="17">
        <v>43</v>
      </c>
    </row>
    <row r="25" spans="2:8" x14ac:dyDescent="0.2">
      <c r="B25" s="5">
        <v>10</v>
      </c>
      <c r="C25" s="17"/>
      <c r="D25" s="17">
        <v>1</v>
      </c>
      <c r="E25" s="17">
        <v>2</v>
      </c>
      <c r="F25" s="17">
        <v>7</v>
      </c>
      <c r="G25" s="17"/>
      <c r="H25" s="17">
        <v>10</v>
      </c>
    </row>
    <row r="26" spans="2:8" x14ac:dyDescent="0.2">
      <c r="B26" s="5" t="s">
        <v>26</v>
      </c>
      <c r="C26" s="17">
        <v>30</v>
      </c>
      <c r="D26" s="17">
        <v>57</v>
      </c>
      <c r="E26" s="17">
        <v>121</v>
      </c>
      <c r="F26" s="17">
        <v>97</v>
      </c>
      <c r="G26" s="17">
        <v>15</v>
      </c>
      <c r="H26" s="17">
        <v>320</v>
      </c>
    </row>
    <row r="28" spans="2:8" x14ac:dyDescent="0.2">
      <c r="B28" t="s">
        <v>56</v>
      </c>
    </row>
    <row r="29" spans="2:8" x14ac:dyDescent="0.2">
      <c r="B29" s="4" t="s">
        <v>48</v>
      </c>
      <c r="C29" s="4" t="s">
        <v>53</v>
      </c>
    </row>
    <row r="30" spans="2:8" x14ac:dyDescent="0.2">
      <c r="B30" s="4" t="s">
        <v>52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  <c r="H30" t="s">
        <v>26</v>
      </c>
    </row>
    <row r="31" spans="2:8" x14ac:dyDescent="0.2">
      <c r="B31" s="5">
        <v>5</v>
      </c>
      <c r="C31" s="17">
        <v>7</v>
      </c>
      <c r="D31" s="17">
        <v>5</v>
      </c>
      <c r="E31" s="17">
        <v>6</v>
      </c>
      <c r="F31" s="17">
        <v>13</v>
      </c>
      <c r="G31" s="17">
        <v>4</v>
      </c>
      <c r="H31" s="17">
        <v>35</v>
      </c>
    </row>
    <row r="32" spans="2:8" x14ac:dyDescent="0.2">
      <c r="B32" s="5">
        <v>6</v>
      </c>
      <c r="C32" s="17">
        <v>1</v>
      </c>
      <c r="D32" s="17">
        <v>3</v>
      </c>
      <c r="E32" s="17">
        <v>4</v>
      </c>
      <c r="F32" s="17">
        <v>1</v>
      </c>
      <c r="G32" s="17">
        <v>1</v>
      </c>
      <c r="H32" s="17">
        <v>10</v>
      </c>
    </row>
    <row r="33" spans="2:8" x14ac:dyDescent="0.2">
      <c r="B33" s="5">
        <v>7</v>
      </c>
      <c r="C33" s="17">
        <v>1</v>
      </c>
      <c r="D33" s="17">
        <v>2</v>
      </c>
      <c r="E33" s="17">
        <v>10</v>
      </c>
      <c r="F33" s="17">
        <v>7</v>
      </c>
      <c r="G33" s="17"/>
      <c r="H33" s="17">
        <v>20</v>
      </c>
    </row>
    <row r="34" spans="2:8" x14ac:dyDescent="0.2">
      <c r="B34" s="5">
        <v>8</v>
      </c>
      <c r="C34" s="17">
        <v>2</v>
      </c>
      <c r="D34" s="17">
        <v>5</v>
      </c>
      <c r="E34" s="17">
        <v>14</v>
      </c>
      <c r="F34" s="17">
        <v>6</v>
      </c>
      <c r="G34" s="17"/>
      <c r="H34" s="17">
        <v>27</v>
      </c>
    </row>
    <row r="35" spans="2:8" x14ac:dyDescent="0.2">
      <c r="B35" s="5">
        <v>9</v>
      </c>
      <c r="C35" s="17"/>
      <c r="D35" s="17">
        <v>1</v>
      </c>
      <c r="E35" s="17">
        <v>12</v>
      </c>
      <c r="F35" s="17">
        <v>3</v>
      </c>
      <c r="G35" s="17">
        <v>2</v>
      </c>
      <c r="H35" s="17">
        <v>18</v>
      </c>
    </row>
    <row r="36" spans="2:8" x14ac:dyDescent="0.2">
      <c r="B36" s="5">
        <v>10</v>
      </c>
      <c r="C36" s="17"/>
      <c r="D36" s="17">
        <v>4</v>
      </c>
      <c r="E36" s="17">
        <v>26</v>
      </c>
      <c r="F36" s="17">
        <v>32</v>
      </c>
      <c r="G36" s="17">
        <v>5</v>
      </c>
      <c r="H36" s="17">
        <v>67</v>
      </c>
    </row>
    <row r="37" spans="2:8" x14ac:dyDescent="0.2">
      <c r="B37" s="5"/>
      <c r="C37" s="17">
        <v>19</v>
      </c>
      <c r="D37" s="17">
        <v>37</v>
      </c>
      <c r="E37" s="17">
        <v>49</v>
      </c>
      <c r="F37" s="17">
        <v>35</v>
      </c>
      <c r="G37" s="17">
        <v>3</v>
      </c>
      <c r="H37" s="17">
        <v>143</v>
      </c>
    </row>
    <row r="38" spans="2:8" x14ac:dyDescent="0.2">
      <c r="B38" s="5" t="s">
        <v>26</v>
      </c>
      <c r="C38" s="17">
        <v>30</v>
      </c>
      <c r="D38" s="17">
        <v>57</v>
      </c>
      <c r="E38" s="17">
        <v>121</v>
      </c>
      <c r="F38" s="17">
        <v>97</v>
      </c>
      <c r="G38" s="17">
        <v>15</v>
      </c>
      <c r="H38" s="17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AE32-3831-DB43-A2BD-1E99BEB3233B}">
  <dimension ref="B2:N173"/>
  <sheetViews>
    <sheetView zoomScale="150" zoomScaleNormal="150" workbookViewId="0">
      <selection activeCell="B4" sqref="B4"/>
    </sheetView>
  </sheetViews>
  <sheetFormatPr baseColWidth="10" defaultColWidth="11.5" defaultRowHeight="15" x14ac:dyDescent="0.2"/>
  <cols>
    <col min="2" max="2" width="9.1640625" bestFit="1" customWidth="1"/>
    <col min="3" max="3" width="10.1640625" bestFit="1" customWidth="1"/>
    <col min="4" max="12" width="4.6640625" bestFit="1" customWidth="1"/>
    <col min="13" max="13" width="5.6640625" bestFit="1" customWidth="1"/>
  </cols>
  <sheetData>
    <row r="2" spans="2:14" x14ac:dyDescent="0.2">
      <c r="B2" t="s">
        <v>29</v>
      </c>
      <c r="C2" t="s">
        <v>14</v>
      </c>
      <c r="D2" t="s">
        <v>31</v>
      </c>
      <c r="E2" t="s">
        <v>34</v>
      </c>
      <c r="F2" t="s">
        <v>32</v>
      </c>
      <c r="G2" t="s">
        <v>33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46</v>
      </c>
    </row>
    <row r="3" spans="2:14" x14ac:dyDescent="0.2">
      <c r="B3">
        <v>27000002</v>
      </c>
      <c r="C3" t="str">
        <f>_xlfn.XLOOKUP(DomaceNaloge[[#This Row],[Vpisna]],Rezultati[Vpisna],Rezultati[Program])</f>
        <v>FIN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N3">
        <f>SUM(DomaceNaloge[[#This Row],[1]:[10]])</f>
        <v>8</v>
      </c>
    </row>
    <row r="4" spans="2:14" x14ac:dyDescent="0.2">
      <c r="B4">
        <v>27000006</v>
      </c>
      <c r="C4" t="str">
        <f>_xlfn.XLOOKUP(DomaceNaloge[[#This Row],[Vpisna]],Rezultati[Vpisna],Rezultati[Program])</f>
        <v>APF</v>
      </c>
      <c r="D4">
        <v>1</v>
      </c>
      <c r="E4">
        <v>0</v>
      </c>
      <c r="F4">
        <v>0</v>
      </c>
      <c r="H4">
        <v>0</v>
      </c>
      <c r="I4">
        <v>1</v>
      </c>
      <c r="J4">
        <v>1</v>
      </c>
      <c r="K4">
        <v>1</v>
      </c>
      <c r="N4">
        <f>SUM(DomaceNaloge[[#This Row],[1]:[10]])</f>
        <v>4</v>
      </c>
    </row>
    <row r="5" spans="2:14" x14ac:dyDescent="0.2">
      <c r="B5">
        <v>27000007</v>
      </c>
      <c r="C5" t="str">
        <f>_xlfn.XLOOKUP(DomaceNaloge[[#This Row],[Vpisna]],Rezultati[Vpisna],Rezultati[Program])</f>
        <v>MAT</v>
      </c>
      <c r="D5">
        <v>1</v>
      </c>
      <c r="E5">
        <v>0</v>
      </c>
      <c r="F5">
        <v>0</v>
      </c>
      <c r="H5">
        <v>1</v>
      </c>
      <c r="I5">
        <v>1</v>
      </c>
      <c r="J5">
        <v>1</v>
      </c>
      <c r="K5">
        <v>1</v>
      </c>
      <c r="N5">
        <f>SUM(DomaceNaloge[[#This Row],[1]:[10]])</f>
        <v>5</v>
      </c>
    </row>
    <row r="6" spans="2:14" x14ac:dyDescent="0.2">
      <c r="B6">
        <v>27000010</v>
      </c>
      <c r="C6" t="str">
        <f>_xlfn.XLOOKUP(DomaceNaloge[[#This Row],[Vpisna]],Rezultati[Vpisna],Rezultati[Program])</f>
        <v>APF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N6">
        <f>SUM(DomaceNaloge[[#This Row],[1]:[10]])</f>
        <v>6</v>
      </c>
    </row>
    <row r="7" spans="2:14" x14ac:dyDescent="0.2">
      <c r="B7">
        <v>27000015</v>
      </c>
      <c r="C7" t="str">
        <f>_xlfn.XLOOKUP(DomaceNaloge[[#This Row],[Vpisna]],Rezultati[Vpisna],Rezultati[Program])</f>
        <v>APF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N7">
        <f>SUM(DomaceNaloge[[#This Row],[1]:[10]])</f>
        <v>6</v>
      </c>
    </row>
    <row r="8" spans="2:14" x14ac:dyDescent="0.2">
      <c r="B8">
        <v>27000020</v>
      </c>
      <c r="C8" t="str">
        <f>_xlfn.XLOOKUP(DomaceNaloge[[#This Row],[Vpisna]],Rezultati[Vpisna],Rezultati[Program])</f>
        <v>APF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N8">
        <f>SUM(DomaceNaloge[[#This Row],[1]:[10]])</f>
        <v>5</v>
      </c>
    </row>
    <row r="9" spans="2:14" x14ac:dyDescent="0.2">
      <c r="B9">
        <v>27000023</v>
      </c>
      <c r="C9" t="str">
        <f>_xlfn.XLOOKUP(DomaceNaloge[[#This Row],[Vpisna]],Rezultati[Vpisna],Rezultati[Program])</f>
        <v>APF</v>
      </c>
      <c r="D9">
        <v>1</v>
      </c>
      <c r="E9">
        <v>0</v>
      </c>
      <c r="F9">
        <v>0</v>
      </c>
      <c r="H9">
        <v>0</v>
      </c>
      <c r="I9">
        <v>1</v>
      </c>
      <c r="J9">
        <v>1</v>
      </c>
      <c r="K9">
        <v>1</v>
      </c>
      <c r="N9">
        <f>SUM(DomaceNaloge[[#This Row],[1]:[10]])</f>
        <v>4</v>
      </c>
    </row>
    <row r="10" spans="2:14" x14ac:dyDescent="0.2">
      <c r="B10">
        <v>27000027</v>
      </c>
      <c r="C10" t="str">
        <f>_xlfn.XLOOKUP(DomaceNaloge[[#This Row],[Vpisna]],Rezultati[Vpisna],Rezultati[Program])</f>
        <v>APF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N10">
        <f>SUM(DomaceNaloge[[#This Row],[1]:[10]])</f>
        <v>6</v>
      </c>
    </row>
    <row r="11" spans="2:14" x14ac:dyDescent="0.2">
      <c r="B11">
        <v>27000028</v>
      </c>
      <c r="C11" t="str">
        <f>_xlfn.XLOOKUP(DomaceNaloge[[#This Row],[Vpisna]],Rezultati[Vpisna],Rezultati[Program])</f>
        <v>APF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N11">
        <f>SUM(DomaceNaloge[[#This Row],[1]:[10]])</f>
        <v>5</v>
      </c>
    </row>
    <row r="12" spans="2:14" x14ac:dyDescent="0.2">
      <c r="B12">
        <v>27000029</v>
      </c>
      <c r="C12" t="str">
        <f>_xlfn.XLOOKUP(DomaceNaloge[[#This Row],[Vpisna]],Rezultati[Vpisna],Rezultati[Program])</f>
        <v>MAT</v>
      </c>
      <c r="D12">
        <v>0</v>
      </c>
      <c r="E12">
        <v>0</v>
      </c>
      <c r="F12">
        <v>0</v>
      </c>
      <c r="H12">
        <v>0</v>
      </c>
      <c r="I12">
        <v>1</v>
      </c>
      <c r="J12">
        <v>1</v>
      </c>
      <c r="K12">
        <v>1</v>
      </c>
      <c r="N12">
        <f>SUM(DomaceNaloge[[#This Row],[1]:[10]])</f>
        <v>3</v>
      </c>
    </row>
    <row r="13" spans="2:14" x14ac:dyDescent="0.2">
      <c r="B13">
        <v>27000030</v>
      </c>
      <c r="C13" t="str">
        <f>_xlfn.XLOOKUP(DomaceNaloge[[#This Row],[Vpisna]],Rezultati[Vpisna],Rezultati[Program])</f>
        <v>APF</v>
      </c>
      <c r="D13">
        <v>1</v>
      </c>
      <c r="E13">
        <v>0</v>
      </c>
      <c r="F13">
        <v>1</v>
      </c>
      <c r="H13">
        <v>1</v>
      </c>
      <c r="I13">
        <v>1</v>
      </c>
      <c r="J13">
        <v>1</v>
      </c>
      <c r="K13">
        <v>1</v>
      </c>
      <c r="N13">
        <f>SUM(DomaceNaloge[[#This Row],[1]:[10]])</f>
        <v>6</v>
      </c>
    </row>
    <row r="14" spans="2:14" x14ac:dyDescent="0.2">
      <c r="B14">
        <v>27000031</v>
      </c>
      <c r="C14" t="str">
        <f>_xlfn.XLOOKUP(DomaceNaloge[[#This Row],[Vpisna]],Rezultati[Vpisna],Rezultati[Program])</f>
        <v>APM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f>SUM(DomaceNaloge[[#This Row],[1]:[10]])</f>
        <v>9</v>
      </c>
    </row>
    <row r="15" spans="2:14" x14ac:dyDescent="0.2">
      <c r="B15">
        <v>27000033</v>
      </c>
      <c r="C15" t="str">
        <f>_xlfn.XLOOKUP(DomaceNaloge[[#This Row],[Vpisna]],Rezultati[Vpisna],Rezultati[Program])</f>
        <v>APM</v>
      </c>
      <c r="D15">
        <v>0</v>
      </c>
      <c r="E15">
        <v>0</v>
      </c>
      <c r="F15">
        <v>0</v>
      </c>
      <c r="H15">
        <v>0</v>
      </c>
      <c r="I15">
        <v>1</v>
      </c>
      <c r="J15">
        <v>1</v>
      </c>
      <c r="K15">
        <v>1</v>
      </c>
      <c r="N15">
        <f>SUM(DomaceNaloge[[#This Row],[1]:[10]])</f>
        <v>3</v>
      </c>
    </row>
    <row r="16" spans="2:14" x14ac:dyDescent="0.2">
      <c r="B16">
        <v>27000044</v>
      </c>
      <c r="C16" t="str">
        <f>_xlfn.XLOOKUP(DomaceNaloge[[#This Row],[Vpisna]],Rezultati[Vpisna],Rezultati[Program])</f>
        <v>APM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M16">
        <v>1</v>
      </c>
      <c r="N16">
        <f>SUM(DomaceNaloge[[#This Row],[1]:[10]])</f>
        <v>9</v>
      </c>
    </row>
    <row r="17" spans="2:14" x14ac:dyDescent="0.2">
      <c r="B17">
        <v>27000051</v>
      </c>
      <c r="C17" t="str">
        <f>_xlfn.XLOOKUP(DomaceNaloge[[#This Row],[Vpisna]],Rezultati[Vpisna],Rezultati[Program])</f>
        <v>APM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f>SUM(DomaceNaloge[[#This Row],[1]:[10]])</f>
        <v>8</v>
      </c>
    </row>
    <row r="18" spans="2:14" x14ac:dyDescent="0.2">
      <c r="B18">
        <v>27000062</v>
      </c>
      <c r="C18" t="str">
        <f>_xlfn.XLOOKUP(DomaceNaloge[[#This Row],[Vpisna]],Rezultati[Vpisna],Rezultati[Program])</f>
        <v>APM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N18">
        <f>SUM(DomaceNaloge[[#This Row],[1]:[10]])</f>
        <v>3</v>
      </c>
    </row>
    <row r="19" spans="2:14" x14ac:dyDescent="0.2">
      <c r="B19">
        <v>27000063</v>
      </c>
      <c r="C19" t="str">
        <f>_xlfn.XLOOKUP(DomaceNaloge[[#This Row],[Vpisna]],Rezultati[Vpisna],Rezultati[Program])</f>
        <v>APM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f>SUM(DomaceNaloge[[#This Row],[1]:[10]])</f>
        <v>10</v>
      </c>
    </row>
    <row r="20" spans="2:14" x14ac:dyDescent="0.2">
      <c r="B20">
        <v>27000064</v>
      </c>
      <c r="C20" t="str">
        <f>_xlfn.XLOOKUP(DomaceNaloge[[#This Row],[Vpisna]],Rezultati[Vpisna],Rezultati[Program])</f>
        <v>APM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N20">
        <f>SUM(DomaceNaloge[[#This Row],[1]:[10]])</f>
        <v>8</v>
      </c>
    </row>
    <row r="21" spans="2:14" x14ac:dyDescent="0.2">
      <c r="B21">
        <v>27000071</v>
      </c>
      <c r="C21" t="str">
        <f>_xlfn.XLOOKUP(DomaceNaloge[[#This Row],[Vpisna]],Rezultati[Vpisna],Rezultati[Program])</f>
        <v>APM</v>
      </c>
      <c r="D21">
        <v>0</v>
      </c>
      <c r="E21">
        <v>0</v>
      </c>
      <c r="F21">
        <v>0</v>
      </c>
      <c r="H21">
        <v>0</v>
      </c>
      <c r="I21">
        <v>1</v>
      </c>
      <c r="J21">
        <v>1</v>
      </c>
      <c r="K21">
        <v>1</v>
      </c>
      <c r="N21">
        <f>SUM(DomaceNaloge[[#This Row],[1]:[10]])</f>
        <v>3</v>
      </c>
    </row>
    <row r="22" spans="2:14" x14ac:dyDescent="0.2">
      <c r="B22">
        <v>27000074</v>
      </c>
      <c r="C22" t="str">
        <f>_xlfn.XLOOKUP(DomaceNaloge[[#This Row],[Vpisna]],Rezultati[Vpisna],Rezultati[Program])</f>
        <v>APM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N22">
        <f>SUM(DomaceNaloge[[#This Row],[1]:[10]])</f>
        <v>3</v>
      </c>
    </row>
    <row r="23" spans="2:14" x14ac:dyDescent="0.2">
      <c r="B23">
        <v>27000076</v>
      </c>
      <c r="C23" t="str">
        <f>_xlfn.XLOOKUP(DomaceNaloge[[#This Row],[Vpisna]],Rezultati[Vpisna],Rezultati[Program])</f>
        <v>APM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M23">
        <v>1</v>
      </c>
      <c r="N23">
        <f>SUM(DomaceNaloge[[#This Row],[1]:[10]])</f>
        <v>8</v>
      </c>
    </row>
    <row r="24" spans="2:14" x14ac:dyDescent="0.2">
      <c r="B24">
        <v>27000078</v>
      </c>
      <c r="C24" t="str">
        <f>_xlfn.XLOOKUP(DomaceNaloge[[#This Row],[Vpisna]],Rezultati[Vpisna],Rezultati[Program])</f>
        <v>APM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N24">
        <f>SUM(DomaceNaloge[[#This Row],[1]:[10]])</f>
        <v>8</v>
      </c>
    </row>
    <row r="25" spans="2:14" x14ac:dyDescent="0.2">
      <c r="B25">
        <v>27000079</v>
      </c>
      <c r="C25" t="str">
        <f>_xlfn.XLOOKUP(DomaceNaloge[[#This Row],[Vpisna]],Rezultati[Vpisna],Rezultati[Program])</f>
        <v>APM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N25">
        <f>SUM(DomaceNaloge[[#This Row],[1]:[10]])</f>
        <v>8</v>
      </c>
    </row>
    <row r="26" spans="2:14" x14ac:dyDescent="0.2">
      <c r="B26">
        <v>27000080</v>
      </c>
      <c r="C26" t="str">
        <f>_xlfn.XLOOKUP(DomaceNaloge[[#This Row],[Vpisna]],Rezultati[Vpisna],Rezultati[Program])</f>
        <v>APM</v>
      </c>
      <c r="D26">
        <v>1</v>
      </c>
      <c r="E26">
        <v>1</v>
      </c>
      <c r="F26">
        <v>0</v>
      </c>
      <c r="H26">
        <v>1</v>
      </c>
      <c r="I26">
        <v>1</v>
      </c>
      <c r="J26">
        <v>1</v>
      </c>
      <c r="K26">
        <v>1</v>
      </c>
      <c r="N26">
        <f>SUM(DomaceNaloge[[#This Row],[1]:[10]])</f>
        <v>6</v>
      </c>
    </row>
    <row r="27" spans="2:14" x14ac:dyDescent="0.2">
      <c r="B27">
        <v>27000081</v>
      </c>
      <c r="C27" t="str">
        <f>_xlfn.XLOOKUP(DomaceNaloge[[#This Row],[Vpisna]],Rezultati[Vpisna],Rezultati[Program])</f>
        <v>APM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N27">
        <f>SUM(DomaceNaloge[[#This Row],[1]:[10]])</f>
        <v>6</v>
      </c>
    </row>
    <row r="28" spans="2:14" x14ac:dyDescent="0.2">
      <c r="B28">
        <v>27000082</v>
      </c>
      <c r="C28" t="str">
        <f>_xlfn.XLOOKUP(DomaceNaloge[[#This Row],[Vpisna]],Rezultati[Vpisna],Rezultati[Program])</f>
        <v>APM</v>
      </c>
      <c r="D28">
        <v>1</v>
      </c>
      <c r="E28">
        <v>1</v>
      </c>
      <c r="F28">
        <v>0</v>
      </c>
      <c r="H28">
        <v>0</v>
      </c>
      <c r="I28">
        <v>1</v>
      </c>
      <c r="J28">
        <v>1</v>
      </c>
      <c r="K28">
        <v>1</v>
      </c>
      <c r="N28">
        <f>SUM(DomaceNaloge[[#This Row],[1]:[10]])</f>
        <v>5</v>
      </c>
    </row>
    <row r="29" spans="2:14" x14ac:dyDescent="0.2">
      <c r="B29">
        <v>27000083</v>
      </c>
      <c r="C29" t="str">
        <f>_xlfn.XLOOKUP(DomaceNaloge[[#This Row],[Vpisna]],Rezultati[Vpisna],Rezultati[Program])</f>
        <v>APM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N29">
        <f>SUM(DomaceNaloge[[#This Row],[1]:[10]])</f>
        <v>8</v>
      </c>
    </row>
    <row r="30" spans="2:14" x14ac:dyDescent="0.2">
      <c r="B30">
        <v>27000084</v>
      </c>
      <c r="C30" t="str">
        <f>_xlfn.XLOOKUP(DomaceNaloge[[#This Row],[Vpisna]],Rezultati[Vpisna],Rezultati[Program])</f>
        <v>APM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N30">
        <f>SUM(DomaceNaloge[[#This Row],[1]:[10]])</f>
        <v>7</v>
      </c>
    </row>
    <row r="31" spans="2:14" x14ac:dyDescent="0.2">
      <c r="B31">
        <v>27000085</v>
      </c>
      <c r="C31" t="str">
        <f>_xlfn.XLOOKUP(DomaceNaloge[[#This Row],[Vpisna]],Rezultati[Vpisna],Rezultati[Program])</f>
        <v>APM</v>
      </c>
      <c r="D31">
        <v>1</v>
      </c>
      <c r="E31">
        <v>0</v>
      </c>
      <c r="F31">
        <v>1</v>
      </c>
      <c r="H31">
        <v>0</v>
      </c>
      <c r="I31">
        <v>1</v>
      </c>
      <c r="J31">
        <v>1</v>
      </c>
      <c r="K31">
        <v>1</v>
      </c>
      <c r="N31">
        <f>SUM(DomaceNaloge[[#This Row],[1]:[10]])</f>
        <v>5</v>
      </c>
    </row>
    <row r="32" spans="2:14" x14ac:dyDescent="0.2">
      <c r="B32">
        <v>27000086</v>
      </c>
      <c r="C32" t="str">
        <f>_xlfn.XLOOKUP(DomaceNaloge[[#This Row],[Vpisna]],Rezultati[Vpisna],Rezultati[Program])</f>
        <v>APM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N32">
        <f>SUM(DomaceNaloge[[#This Row],[1]:[10]])</f>
        <v>8</v>
      </c>
    </row>
    <row r="33" spans="2:14" x14ac:dyDescent="0.2">
      <c r="B33">
        <v>27000087</v>
      </c>
      <c r="C33" t="str">
        <f>_xlfn.XLOOKUP(DomaceNaloge[[#This Row],[Vpisna]],Rezultati[Vpisna],Rezultati[Program])</f>
        <v>APM</v>
      </c>
      <c r="D33">
        <v>1</v>
      </c>
      <c r="E33">
        <v>0</v>
      </c>
      <c r="F33">
        <v>0</v>
      </c>
      <c r="H33">
        <v>0</v>
      </c>
      <c r="I33">
        <v>1</v>
      </c>
      <c r="J33">
        <v>1</v>
      </c>
      <c r="K33">
        <v>1</v>
      </c>
      <c r="N33">
        <f>SUM(DomaceNaloge[[#This Row],[1]:[10]])</f>
        <v>4</v>
      </c>
    </row>
    <row r="34" spans="2:14" x14ac:dyDescent="0.2">
      <c r="B34">
        <v>27000088</v>
      </c>
      <c r="C34" t="str">
        <f>_xlfn.XLOOKUP(DomaceNaloge[[#This Row],[Vpisna]],Rezultati[Vpisna],Rezultati[Program])</f>
        <v>FIN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M34">
        <v>1</v>
      </c>
      <c r="N34">
        <f>SUM(DomaceNaloge[[#This Row],[1]:[10]])</f>
        <v>9</v>
      </c>
    </row>
    <row r="35" spans="2:14" x14ac:dyDescent="0.2">
      <c r="B35">
        <v>27000092</v>
      </c>
      <c r="C35" t="str">
        <f>_xlfn.XLOOKUP(DomaceNaloge[[#This Row],[Vpisna]],Rezultati[Vpisna],Rezultati[Program])</f>
        <v>FIN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M35">
        <v>1</v>
      </c>
      <c r="N35">
        <f>SUM(DomaceNaloge[[#This Row],[1]:[10]])</f>
        <v>8</v>
      </c>
    </row>
    <row r="36" spans="2:14" x14ac:dyDescent="0.2">
      <c r="B36">
        <v>27000093</v>
      </c>
      <c r="C36" t="str">
        <f>_xlfn.XLOOKUP(DomaceNaloge[[#This Row],[Vpisna]],Rezultati[Vpisna],Rezultati[Program])</f>
        <v>FIN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N36">
        <f>SUM(DomaceNaloge[[#This Row],[1]:[10]])</f>
        <v>8</v>
      </c>
    </row>
    <row r="37" spans="2:14" x14ac:dyDescent="0.2">
      <c r="B37">
        <v>27000096</v>
      </c>
      <c r="C37" t="str">
        <f>_xlfn.XLOOKUP(DomaceNaloge[[#This Row],[Vpisna]],Rezultati[Vpisna],Rezultati[Program])</f>
        <v>FIN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M37">
        <v>1</v>
      </c>
      <c r="N37">
        <f>SUM(DomaceNaloge[[#This Row],[1]:[10]])</f>
        <v>9</v>
      </c>
    </row>
    <row r="38" spans="2:14" x14ac:dyDescent="0.2">
      <c r="B38">
        <v>27000100</v>
      </c>
      <c r="C38" t="str">
        <f>_xlfn.XLOOKUP(DomaceNaloge[[#This Row],[Vpisna]],Rezultati[Vpisna],Rezultati[Program])</f>
        <v>FIN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M38">
        <v>1</v>
      </c>
      <c r="N38">
        <f>SUM(DomaceNaloge[[#This Row],[1]:[10]])</f>
        <v>9</v>
      </c>
    </row>
    <row r="39" spans="2:14" x14ac:dyDescent="0.2">
      <c r="B39">
        <v>27000101</v>
      </c>
      <c r="C39" t="str">
        <f>_xlfn.XLOOKUP(DomaceNaloge[[#This Row],[Vpisna]],Rezultati[Vpisna],Rezultati[Program])</f>
        <v>FIN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M39">
        <v>1</v>
      </c>
      <c r="N39">
        <f>SUM(DomaceNaloge[[#This Row],[1]:[10]])</f>
        <v>9</v>
      </c>
    </row>
    <row r="40" spans="2:14" x14ac:dyDescent="0.2">
      <c r="B40">
        <v>27000103</v>
      </c>
      <c r="C40" t="str">
        <f>_xlfn.XLOOKUP(DomaceNaloge[[#This Row],[Vpisna]],Rezultati[Vpisna],Rezultati[Program])</f>
        <v>FIN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N40">
        <f>SUM(DomaceNaloge[[#This Row],[1]:[10]])</f>
        <v>8</v>
      </c>
    </row>
    <row r="41" spans="2:14" x14ac:dyDescent="0.2">
      <c r="B41">
        <v>27000104</v>
      </c>
      <c r="C41" t="str">
        <f>_xlfn.XLOOKUP(DomaceNaloge[[#This Row],[Vpisna]],Rezultati[Vpisna],Rezultati[Program])</f>
        <v>FIN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M41">
        <v>1</v>
      </c>
      <c r="N41">
        <f>SUM(DomaceNaloge[[#This Row],[1]:[10]])</f>
        <v>9</v>
      </c>
    </row>
    <row r="42" spans="2:14" x14ac:dyDescent="0.2">
      <c r="B42">
        <v>27000111</v>
      </c>
      <c r="C42" t="str">
        <f>_xlfn.XLOOKUP(DomaceNaloge[[#This Row],[Vpisna]],Rezultati[Vpisna],Rezultati[Program])</f>
        <v>FIN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M42">
        <v>1</v>
      </c>
      <c r="N42">
        <f>SUM(DomaceNaloge[[#This Row],[1]:[10]])</f>
        <v>9</v>
      </c>
    </row>
    <row r="43" spans="2:14" x14ac:dyDescent="0.2">
      <c r="B43">
        <v>27000113</v>
      </c>
      <c r="C43" t="str">
        <f>_xlfn.XLOOKUP(DomaceNaloge[[#This Row],[Vpisna]],Rezultati[Vpisna],Rezultati[Program])</f>
        <v>FIN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N43">
        <f>SUM(DomaceNaloge[[#This Row],[1]:[10]])</f>
        <v>8</v>
      </c>
    </row>
    <row r="44" spans="2:14" x14ac:dyDescent="0.2">
      <c r="B44">
        <v>27000115</v>
      </c>
      <c r="C44" t="str">
        <f>_xlfn.XLOOKUP(DomaceNaloge[[#This Row],[Vpisna]],Rezultati[Vpisna],Rezultati[Program])</f>
        <v>FIN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M44">
        <v>1</v>
      </c>
      <c r="N44">
        <f>SUM(DomaceNaloge[[#This Row],[1]:[10]])</f>
        <v>9</v>
      </c>
    </row>
    <row r="45" spans="2:14" x14ac:dyDescent="0.2">
      <c r="B45">
        <v>27000118</v>
      </c>
      <c r="C45" t="str">
        <f>_xlfn.XLOOKUP(DomaceNaloge[[#This Row],[Vpisna]],Rezultati[Vpisna],Rezultati[Program])</f>
        <v>FIN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M45">
        <v>1</v>
      </c>
      <c r="N45">
        <f>SUM(DomaceNaloge[[#This Row],[1]:[10]])</f>
        <v>9</v>
      </c>
    </row>
    <row r="46" spans="2:14" x14ac:dyDescent="0.2">
      <c r="B46">
        <v>27000120</v>
      </c>
      <c r="C46" t="str">
        <f>_xlfn.XLOOKUP(DomaceNaloge[[#This Row],[Vpisna]],Rezultati[Vpisna],Rezultati[Program])</f>
        <v>FIN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N46">
        <f>SUM(DomaceNaloge[[#This Row],[1]:[10]])</f>
        <v>8</v>
      </c>
    </row>
    <row r="47" spans="2:14" x14ac:dyDescent="0.2">
      <c r="B47">
        <v>27000124</v>
      </c>
      <c r="C47" t="str">
        <f>_xlfn.XLOOKUP(DomaceNaloge[[#This Row],[Vpisna]],Rezultati[Vpisna],Rezultati[Program])</f>
        <v>FIN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M47">
        <v>1</v>
      </c>
      <c r="N47">
        <f>SUM(DomaceNaloge[[#This Row],[1]:[10]])</f>
        <v>9</v>
      </c>
    </row>
    <row r="48" spans="2:14" x14ac:dyDescent="0.2">
      <c r="B48">
        <v>27000125</v>
      </c>
      <c r="C48" t="str">
        <f>_xlfn.XLOOKUP(DomaceNaloge[[#This Row],[Vpisna]],Rezultati[Vpisna],Rezultati[Program])</f>
        <v>FIN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N48">
        <f>SUM(DomaceNaloge[[#This Row],[1]:[10]])</f>
        <v>7</v>
      </c>
    </row>
    <row r="49" spans="2:14" x14ac:dyDescent="0.2">
      <c r="B49">
        <v>27000126</v>
      </c>
      <c r="C49" t="str">
        <f>_xlfn.XLOOKUP(DomaceNaloge[[#This Row],[Vpisna]],Rezultati[Vpisna],Rezultati[Program])</f>
        <v>FIN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f>SUM(DomaceNaloge[[#This Row],[1]:[10]])</f>
        <v>10</v>
      </c>
    </row>
    <row r="50" spans="2:14" x14ac:dyDescent="0.2">
      <c r="B50">
        <v>27000127</v>
      </c>
      <c r="C50" t="str">
        <f>_xlfn.XLOOKUP(DomaceNaloge[[#This Row],[Vpisna]],Rezultati[Vpisna],Rezultati[Program])</f>
        <v>FIN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N50">
        <f>SUM(DomaceNaloge[[#This Row],[1]:[10]])</f>
        <v>7</v>
      </c>
    </row>
    <row r="51" spans="2:14" x14ac:dyDescent="0.2">
      <c r="B51">
        <v>27000128</v>
      </c>
      <c r="C51" t="str">
        <f>_xlfn.XLOOKUP(DomaceNaloge[[#This Row],[Vpisna]],Rezultati[Vpisna],Rezultati[Program])</f>
        <v>FIN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M51">
        <v>1</v>
      </c>
      <c r="N51">
        <f>SUM(DomaceNaloge[[#This Row],[1]:[10]])</f>
        <v>9</v>
      </c>
    </row>
    <row r="52" spans="2:14" x14ac:dyDescent="0.2">
      <c r="B52">
        <v>27000130</v>
      </c>
      <c r="C52" t="str">
        <f>_xlfn.XLOOKUP(DomaceNaloge[[#This Row],[Vpisna]],Rezultati[Vpisna],Rezultati[Program])</f>
        <v>FIN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N52">
        <f>SUM(DomaceNaloge[[#This Row],[1]:[10]])</f>
        <v>8</v>
      </c>
    </row>
    <row r="53" spans="2:14" x14ac:dyDescent="0.2">
      <c r="B53">
        <v>27000132</v>
      </c>
      <c r="C53" t="str">
        <f>_xlfn.XLOOKUP(DomaceNaloge[[#This Row],[Vpisna]],Rezultati[Vpisna],Rezultati[Program])</f>
        <v>FIN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M53">
        <v>1</v>
      </c>
      <c r="N53">
        <f>SUM(DomaceNaloge[[#This Row],[1]:[10]])</f>
        <v>9</v>
      </c>
    </row>
    <row r="54" spans="2:14" x14ac:dyDescent="0.2">
      <c r="B54">
        <v>27000134</v>
      </c>
      <c r="C54" t="str">
        <f>_xlfn.XLOOKUP(DomaceNaloge[[#This Row],[Vpisna]],Rezultati[Vpisna],Rezultati[Program])</f>
        <v>FIN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N54">
        <f>SUM(DomaceNaloge[[#This Row],[1]:[10]])</f>
        <v>7</v>
      </c>
    </row>
    <row r="55" spans="2:14" x14ac:dyDescent="0.2">
      <c r="B55">
        <v>27000135</v>
      </c>
      <c r="C55" t="str">
        <f>_xlfn.XLOOKUP(DomaceNaloge[[#This Row],[Vpisna]],Rezultati[Vpisna],Rezultati[Program])</f>
        <v>MAT</v>
      </c>
      <c r="D55">
        <v>1</v>
      </c>
      <c r="E55">
        <v>0</v>
      </c>
      <c r="F55">
        <v>0</v>
      </c>
      <c r="H55">
        <v>1</v>
      </c>
      <c r="I55">
        <v>1</v>
      </c>
      <c r="J55">
        <v>1</v>
      </c>
      <c r="K55">
        <v>1</v>
      </c>
      <c r="N55">
        <f>SUM(DomaceNaloge[[#This Row],[1]:[10]])</f>
        <v>5</v>
      </c>
    </row>
    <row r="56" spans="2:14" x14ac:dyDescent="0.2">
      <c r="B56">
        <v>27000136</v>
      </c>
      <c r="C56" t="str">
        <f>_xlfn.XLOOKUP(DomaceNaloge[[#This Row],[Vpisna]],Rezultati[Vpisna],Rezultati[Program])</f>
        <v>FIN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N56">
        <f>SUM(DomaceNaloge[[#This Row],[1]:[10]])</f>
        <v>7</v>
      </c>
    </row>
    <row r="57" spans="2:14" x14ac:dyDescent="0.2">
      <c r="B57">
        <v>27000141</v>
      </c>
      <c r="C57" t="str">
        <f>_xlfn.XLOOKUP(DomaceNaloge[[#This Row],[Vpisna]],Rezultati[Vpisna],Rezultati[Program])</f>
        <v>FIN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M57">
        <v>1</v>
      </c>
      <c r="N57">
        <f>SUM(DomaceNaloge[[#This Row],[1]:[10]])</f>
        <v>9</v>
      </c>
    </row>
    <row r="58" spans="2:14" x14ac:dyDescent="0.2">
      <c r="B58">
        <v>27000144</v>
      </c>
      <c r="C58" t="str">
        <f>_xlfn.XLOOKUP(DomaceNaloge[[#This Row],[Vpisna]],Rezultati[Vpisna],Rezultati[Program])</f>
        <v>FIN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N58">
        <f>SUM(DomaceNaloge[[#This Row],[1]:[10]])</f>
        <v>8</v>
      </c>
    </row>
    <row r="59" spans="2:14" x14ac:dyDescent="0.2">
      <c r="B59">
        <v>27000146</v>
      </c>
      <c r="C59" t="str">
        <f>_xlfn.XLOOKUP(DomaceNaloge[[#This Row],[Vpisna]],Rezultati[Vpisna],Rezultati[Program])</f>
        <v>FIN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N59">
        <f>SUM(DomaceNaloge[[#This Row],[1]:[10]])</f>
        <v>6</v>
      </c>
    </row>
    <row r="60" spans="2:14" x14ac:dyDescent="0.2">
      <c r="B60">
        <v>27000148</v>
      </c>
      <c r="C60" t="str">
        <f>_xlfn.XLOOKUP(DomaceNaloge[[#This Row],[Vpisna]],Rezultati[Vpisna],Rezultati[Program])</f>
        <v>FIN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M60">
        <v>1</v>
      </c>
      <c r="N60">
        <f>SUM(DomaceNaloge[[#This Row],[1]:[10]])</f>
        <v>9</v>
      </c>
    </row>
    <row r="61" spans="2:14" x14ac:dyDescent="0.2">
      <c r="B61">
        <v>27000149</v>
      </c>
      <c r="C61" t="str">
        <f>_xlfn.XLOOKUP(DomaceNaloge[[#This Row],[Vpisna]],Rezultati[Vpisna],Rezultati[Program])</f>
        <v>FIN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M61">
        <v>1</v>
      </c>
      <c r="N61">
        <f>SUM(DomaceNaloge[[#This Row],[1]:[10]])</f>
        <v>8</v>
      </c>
    </row>
    <row r="62" spans="2:14" x14ac:dyDescent="0.2">
      <c r="B62">
        <v>27000152</v>
      </c>
      <c r="C62" t="str">
        <f>_xlfn.XLOOKUP(DomaceNaloge[[#This Row],[Vpisna]],Rezultati[Vpisna],Rezultati[Program])</f>
        <v>FIN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M62">
        <v>0</v>
      </c>
      <c r="N62">
        <f>SUM(DomaceNaloge[[#This Row],[1]:[10]])</f>
        <v>8</v>
      </c>
    </row>
    <row r="63" spans="2:14" x14ac:dyDescent="0.2">
      <c r="B63">
        <v>27000154</v>
      </c>
      <c r="C63" t="str">
        <f>_xlfn.XLOOKUP(DomaceNaloge[[#This Row],[Vpisna]],Rezultati[Vpisna],Rezultati[Program])</f>
        <v>FIN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M63">
        <v>0</v>
      </c>
      <c r="N63">
        <f>SUM(DomaceNaloge[[#This Row],[1]:[10]])</f>
        <v>8</v>
      </c>
    </row>
    <row r="64" spans="2:14" x14ac:dyDescent="0.2">
      <c r="B64">
        <v>27000155</v>
      </c>
      <c r="C64" t="str">
        <f>_xlfn.XLOOKUP(DomaceNaloge[[#This Row],[Vpisna]],Rezultati[Vpisna],Rezultati[Program])</f>
        <v>FIN</v>
      </c>
      <c r="D64">
        <v>1</v>
      </c>
      <c r="E64">
        <v>1</v>
      </c>
      <c r="F64">
        <v>1</v>
      </c>
      <c r="H64">
        <v>0</v>
      </c>
      <c r="I64">
        <v>1</v>
      </c>
      <c r="J64">
        <v>1</v>
      </c>
      <c r="K64">
        <v>1</v>
      </c>
      <c r="N64">
        <f>SUM(DomaceNaloge[[#This Row],[1]:[10]])</f>
        <v>6</v>
      </c>
    </row>
    <row r="65" spans="2:14" x14ac:dyDescent="0.2">
      <c r="B65">
        <v>27000156</v>
      </c>
      <c r="C65" t="str">
        <f>_xlfn.XLOOKUP(DomaceNaloge[[#This Row],[Vpisna]],Rezultati[Vpisna],Rezultati[Program])</f>
        <v>FIN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f>SUM(DomaceNaloge[[#This Row],[1]:[10]])</f>
        <v>10</v>
      </c>
    </row>
    <row r="66" spans="2:14" x14ac:dyDescent="0.2">
      <c r="B66">
        <v>27000159</v>
      </c>
      <c r="C66" t="str">
        <f>_xlfn.XLOOKUP(DomaceNaloge[[#This Row],[Vpisna]],Rezultati[Vpisna],Rezultati[Program])</f>
        <v>FIN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M66">
        <v>1</v>
      </c>
      <c r="N66">
        <f>SUM(DomaceNaloge[[#This Row],[1]:[10]])</f>
        <v>8</v>
      </c>
    </row>
    <row r="67" spans="2:14" x14ac:dyDescent="0.2">
      <c r="B67">
        <v>27000160</v>
      </c>
      <c r="C67" t="str">
        <f>_xlfn.XLOOKUP(DomaceNaloge[[#This Row],[Vpisna]],Rezultati[Vpisna],Rezultati[Program])</f>
        <v>FIN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M67">
        <v>1</v>
      </c>
      <c r="N67">
        <f>SUM(DomaceNaloge[[#This Row],[1]:[10]])</f>
        <v>9</v>
      </c>
    </row>
    <row r="68" spans="2:14" x14ac:dyDescent="0.2">
      <c r="B68">
        <v>27000162</v>
      </c>
      <c r="C68" t="str">
        <f>_xlfn.XLOOKUP(DomaceNaloge[[#This Row],[Vpisna]],Rezultati[Vpisna],Rezultati[Program])</f>
        <v>FIN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N68">
        <f>SUM(DomaceNaloge[[#This Row],[1]:[10]])</f>
        <v>8</v>
      </c>
    </row>
    <row r="69" spans="2:14" x14ac:dyDescent="0.2">
      <c r="B69">
        <v>27000163</v>
      </c>
      <c r="C69" t="str">
        <f>_xlfn.XLOOKUP(DomaceNaloge[[#This Row],[Vpisna]],Rezultati[Vpisna],Rezultati[Program])</f>
        <v>FIN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N69">
        <f>SUM(DomaceNaloge[[#This Row],[1]:[10]])</f>
        <v>8</v>
      </c>
    </row>
    <row r="70" spans="2:14" x14ac:dyDescent="0.2">
      <c r="B70">
        <v>27000164</v>
      </c>
      <c r="C70" t="str">
        <f>_xlfn.XLOOKUP(DomaceNaloge[[#This Row],[Vpisna]],Rezultati[Vpisna],Rezultati[Program])</f>
        <v>FIN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M70">
        <v>1</v>
      </c>
      <c r="N70">
        <f>SUM(DomaceNaloge[[#This Row],[1]:[10]])</f>
        <v>9</v>
      </c>
    </row>
    <row r="71" spans="2:14" x14ac:dyDescent="0.2">
      <c r="B71">
        <v>27000165</v>
      </c>
      <c r="C71" t="str">
        <f>_xlfn.XLOOKUP(DomaceNaloge[[#This Row],[Vpisna]],Rezultati[Vpisna],Rezultati[Program])</f>
        <v>FIN</v>
      </c>
      <c r="D71">
        <v>1</v>
      </c>
      <c r="E71">
        <v>1</v>
      </c>
      <c r="F71">
        <v>1</v>
      </c>
      <c r="H71">
        <v>1</v>
      </c>
      <c r="I71">
        <v>1</v>
      </c>
      <c r="J71">
        <v>1</v>
      </c>
      <c r="K71">
        <v>1</v>
      </c>
      <c r="N71">
        <f>SUM(DomaceNaloge[[#This Row],[1]:[10]])</f>
        <v>7</v>
      </c>
    </row>
    <row r="72" spans="2:14" x14ac:dyDescent="0.2">
      <c r="B72">
        <v>27000166</v>
      </c>
      <c r="C72" t="str">
        <f>_xlfn.XLOOKUP(DomaceNaloge[[#This Row],[Vpisna]],Rezultati[Vpisna],Rezultati[Program])</f>
        <v>FIN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M72">
        <v>1</v>
      </c>
      <c r="N72">
        <f>SUM(DomaceNaloge[[#This Row],[1]:[10]])</f>
        <v>9</v>
      </c>
    </row>
    <row r="73" spans="2:14" x14ac:dyDescent="0.2">
      <c r="B73">
        <v>27000167</v>
      </c>
      <c r="C73" t="str">
        <f>_xlfn.XLOOKUP(DomaceNaloge[[#This Row],[Vpisna]],Rezultati[Vpisna],Rezultati[Program])</f>
        <v>FIN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M73">
        <v>0</v>
      </c>
      <c r="N73">
        <f>SUM(DomaceNaloge[[#This Row],[1]:[10]])</f>
        <v>7</v>
      </c>
    </row>
    <row r="74" spans="2:14" x14ac:dyDescent="0.2">
      <c r="B74">
        <v>27000171</v>
      </c>
      <c r="C74" t="str">
        <f>_xlfn.XLOOKUP(DomaceNaloge[[#This Row],[Vpisna]],Rezultati[Vpisna],Rezultati[Program])</f>
        <v>FIN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N74">
        <f>SUM(DomaceNaloge[[#This Row],[1]:[10]])</f>
        <v>8</v>
      </c>
    </row>
    <row r="75" spans="2:14" x14ac:dyDescent="0.2">
      <c r="B75">
        <v>27000173</v>
      </c>
      <c r="C75" t="str">
        <f>_xlfn.XLOOKUP(DomaceNaloge[[#This Row],[Vpisna]],Rezultati[Vpisna],Rezultati[Program])</f>
        <v>FIN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M75">
        <v>1</v>
      </c>
      <c r="N75">
        <f>SUM(DomaceNaloge[[#This Row],[1]:[10]])</f>
        <v>9</v>
      </c>
    </row>
    <row r="76" spans="2:14" x14ac:dyDescent="0.2">
      <c r="B76">
        <v>27000175</v>
      </c>
      <c r="C76" t="str">
        <f>_xlfn.XLOOKUP(DomaceNaloge[[#This Row],[Vpisna]],Rezultati[Vpisna],Rezultati[Program])</f>
        <v>FIN</v>
      </c>
      <c r="D76">
        <v>1</v>
      </c>
      <c r="E76">
        <v>0</v>
      </c>
      <c r="F76">
        <v>0</v>
      </c>
      <c r="H76">
        <v>1</v>
      </c>
      <c r="I76">
        <v>1</v>
      </c>
      <c r="J76">
        <v>1</v>
      </c>
      <c r="K76">
        <v>1</v>
      </c>
      <c r="N76">
        <f>SUM(DomaceNaloge[[#This Row],[1]:[10]])</f>
        <v>5</v>
      </c>
    </row>
    <row r="77" spans="2:14" x14ac:dyDescent="0.2">
      <c r="B77">
        <v>27000176</v>
      </c>
      <c r="C77" t="str">
        <f>_xlfn.XLOOKUP(DomaceNaloge[[#This Row],[Vpisna]],Rezultati[Vpisna],Rezultati[Program])</f>
        <v>FIN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N77">
        <f>SUM(DomaceNaloge[[#This Row],[1]:[10]])</f>
        <v>8</v>
      </c>
    </row>
    <row r="78" spans="2:14" x14ac:dyDescent="0.2">
      <c r="B78">
        <v>27000177</v>
      </c>
      <c r="C78" t="str">
        <f>_xlfn.XLOOKUP(DomaceNaloge[[#This Row],[Vpisna]],Rezultati[Vpisna],Rezultati[Program])</f>
        <v>FIN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M78">
        <v>1</v>
      </c>
      <c r="N78">
        <f>SUM(DomaceNaloge[[#This Row],[1]:[10]])</f>
        <v>9</v>
      </c>
    </row>
    <row r="79" spans="2:14" x14ac:dyDescent="0.2">
      <c r="B79">
        <v>27000179</v>
      </c>
      <c r="C79" t="str">
        <f>_xlfn.XLOOKUP(DomaceNaloge[[#This Row],[Vpisna]],Rezultati[Vpisna],Rezultati[Program])</f>
        <v>FIN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N79">
        <f>SUM(DomaceNaloge[[#This Row],[1]:[10]])</f>
        <v>8</v>
      </c>
    </row>
    <row r="80" spans="2:14" x14ac:dyDescent="0.2">
      <c r="B80">
        <v>27000181</v>
      </c>
      <c r="C80" t="str">
        <f>_xlfn.XLOOKUP(DomaceNaloge[[#This Row],[Vpisna]],Rezultati[Vpisna],Rezultati[Program])</f>
        <v>FIN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N80">
        <f>SUM(DomaceNaloge[[#This Row],[1]:[10]])</f>
        <v>7</v>
      </c>
    </row>
    <row r="81" spans="2:14" x14ac:dyDescent="0.2">
      <c r="B81">
        <v>27000182</v>
      </c>
      <c r="C81" t="str">
        <f>_xlfn.XLOOKUP(DomaceNaloge[[#This Row],[Vpisna]],Rezultati[Vpisna],Rezultati[Program])</f>
        <v>FIN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N81">
        <f>SUM(DomaceNaloge[[#This Row],[1]:[10]])</f>
        <v>8</v>
      </c>
    </row>
    <row r="82" spans="2:14" x14ac:dyDescent="0.2">
      <c r="B82">
        <v>27000185</v>
      </c>
      <c r="C82" t="str">
        <f>_xlfn.XLOOKUP(DomaceNaloge[[#This Row],[Vpisna]],Rezultati[Vpisna],Rezultati[Program])</f>
        <v>FIN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N82">
        <f>SUM(DomaceNaloge[[#This Row],[1]:[10]])</f>
        <v>8</v>
      </c>
    </row>
    <row r="83" spans="2:14" x14ac:dyDescent="0.2">
      <c r="B83">
        <v>27000187</v>
      </c>
      <c r="C83" t="str">
        <f>_xlfn.XLOOKUP(DomaceNaloge[[#This Row],[Vpisna]],Rezultati[Vpisna],Rezultati[Program])</f>
        <v>FIN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M83">
        <v>1</v>
      </c>
      <c r="N83">
        <f>SUM(DomaceNaloge[[#This Row],[1]:[10]])</f>
        <v>9</v>
      </c>
    </row>
    <row r="84" spans="2:14" x14ac:dyDescent="0.2">
      <c r="B84">
        <v>27000188</v>
      </c>
      <c r="C84" t="str">
        <f>_xlfn.XLOOKUP(DomaceNaloge[[#This Row],[Vpisna]],Rezultati[Vpisna],Rezultati[Program])</f>
        <v>FIN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N84">
        <f>SUM(DomaceNaloge[[#This Row],[1]:[10]])</f>
        <v>8</v>
      </c>
    </row>
    <row r="85" spans="2:14" x14ac:dyDescent="0.2">
      <c r="B85">
        <v>27000189</v>
      </c>
      <c r="C85" t="str">
        <f>_xlfn.XLOOKUP(DomaceNaloge[[#This Row],[Vpisna]],Rezultati[Vpisna],Rezultati[Program])</f>
        <v>FIN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N85">
        <f>SUM(DomaceNaloge[[#This Row],[1]:[10]])</f>
        <v>8</v>
      </c>
    </row>
    <row r="86" spans="2:14" x14ac:dyDescent="0.2">
      <c r="B86">
        <v>27000190</v>
      </c>
      <c r="C86" t="str">
        <f>_xlfn.XLOOKUP(DomaceNaloge[[#This Row],[Vpisna]],Rezultati[Vpisna],Rezultati[Program])</f>
        <v>FIN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M86">
        <v>1</v>
      </c>
      <c r="N86">
        <f>SUM(DomaceNaloge[[#This Row],[1]:[10]])</f>
        <v>9</v>
      </c>
    </row>
    <row r="87" spans="2:14" x14ac:dyDescent="0.2">
      <c r="B87">
        <v>27000191</v>
      </c>
      <c r="C87" t="str">
        <f>_xlfn.XLOOKUP(DomaceNaloge[[#This Row],[Vpisna]],Rezultati[Vpisna],Rezultati[Program])</f>
        <v>FIN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N87">
        <f>SUM(DomaceNaloge[[#This Row],[1]:[10]])</f>
        <v>8</v>
      </c>
    </row>
    <row r="88" spans="2:14" x14ac:dyDescent="0.2">
      <c r="B88">
        <v>27000192</v>
      </c>
      <c r="C88" t="str">
        <f>_xlfn.XLOOKUP(DomaceNaloge[[#This Row],[Vpisna]],Rezultati[Vpisna],Rezultati[Program])</f>
        <v>FIN</v>
      </c>
      <c r="D88">
        <v>1</v>
      </c>
      <c r="E88">
        <v>1</v>
      </c>
      <c r="F88">
        <v>1</v>
      </c>
      <c r="H88">
        <v>0</v>
      </c>
      <c r="I88">
        <v>1</v>
      </c>
      <c r="J88">
        <v>1</v>
      </c>
      <c r="K88">
        <v>1</v>
      </c>
      <c r="N88">
        <f>SUM(DomaceNaloge[[#This Row],[1]:[10]])</f>
        <v>6</v>
      </c>
    </row>
    <row r="89" spans="2:14" x14ac:dyDescent="0.2">
      <c r="B89">
        <v>27000193</v>
      </c>
      <c r="C89" t="str">
        <f>_xlfn.XLOOKUP(DomaceNaloge[[#This Row],[Vpisna]],Rezultati[Vpisna],Rezultati[Program])</f>
        <v>FIN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M89">
        <v>0</v>
      </c>
      <c r="N89">
        <f>SUM(DomaceNaloge[[#This Row],[1]:[10]])</f>
        <v>7</v>
      </c>
    </row>
    <row r="90" spans="2:14" x14ac:dyDescent="0.2">
      <c r="B90">
        <v>27000194</v>
      </c>
      <c r="C90" t="str">
        <f>_xlfn.XLOOKUP(DomaceNaloge[[#This Row],[Vpisna]],Rezultati[Vpisna],Rezultati[Program])</f>
        <v>FIN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M90">
        <v>1</v>
      </c>
      <c r="N90">
        <f>SUM(DomaceNaloge[[#This Row],[1]:[10]])</f>
        <v>9</v>
      </c>
    </row>
    <row r="91" spans="2:14" x14ac:dyDescent="0.2">
      <c r="B91">
        <v>27000195</v>
      </c>
      <c r="C91" t="str">
        <f>_xlfn.XLOOKUP(DomaceNaloge[[#This Row],[Vpisna]],Rezultati[Vpisna],Rezultati[Program])</f>
        <v>FIN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M91">
        <v>1</v>
      </c>
      <c r="N91">
        <f>SUM(DomaceNaloge[[#This Row],[1]:[10]])</f>
        <v>9</v>
      </c>
    </row>
    <row r="92" spans="2:14" x14ac:dyDescent="0.2">
      <c r="B92">
        <v>27000196</v>
      </c>
      <c r="C92" t="str">
        <f>_xlfn.XLOOKUP(DomaceNaloge[[#This Row],[Vpisna]],Rezultati[Vpisna],Rezultati[Program])</f>
        <v>FIN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N92">
        <f>SUM(DomaceNaloge[[#This Row],[1]:[10]])</f>
        <v>8</v>
      </c>
    </row>
    <row r="93" spans="2:14" x14ac:dyDescent="0.2">
      <c r="B93">
        <v>27000197</v>
      </c>
      <c r="C93" t="str">
        <f>_xlfn.XLOOKUP(DomaceNaloge[[#This Row],[Vpisna]],Rezultati[Vpisna],Rezultati[Program])</f>
        <v>FIN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N93">
        <f>SUM(DomaceNaloge[[#This Row],[1]:[10]])</f>
        <v>8</v>
      </c>
    </row>
    <row r="94" spans="2:14" x14ac:dyDescent="0.2">
      <c r="B94">
        <v>27000198</v>
      </c>
      <c r="C94" t="str">
        <f>_xlfn.XLOOKUP(DomaceNaloge[[#This Row],[Vpisna]],Rezultati[Vpisna],Rezultati[Program])</f>
        <v>FIN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N94">
        <f>SUM(DomaceNaloge[[#This Row],[1]:[10]])</f>
        <v>8</v>
      </c>
    </row>
    <row r="95" spans="2:14" x14ac:dyDescent="0.2">
      <c r="B95">
        <v>27000199</v>
      </c>
      <c r="C95" t="str">
        <f>_xlfn.XLOOKUP(DomaceNaloge[[#This Row],[Vpisna]],Rezultati[Vpisna],Rezultati[Program])</f>
        <v>FIN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N95">
        <f>SUM(DomaceNaloge[[#This Row],[1]:[10]])</f>
        <v>8</v>
      </c>
    </row>
    <row r="96" spans="2:14" x14ac:dyDescent="0.2">
      <c r="B96">
        <v>27000200</v>
      </c>
      <c r="C96" t="str">
        <f>_xlfn.XLOOKUP(DomaceNaloge[[#This Row],[Vpisna]],Rezultati[Vpisna],Rezultati[Program])</f>
        <v>FIN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  <c r="N96">
        <f>SUM(DomaceNaloge[[#This Row],[1]:[10]])</f>
        <v>9</v>
      </c>
    </row>
    <row r="97" spans="2:14" x14ac:dyDescent="0.2">
      <c r="B97">
        <v>27000201</v>
      </c>
      <c r="C97" t="str">
        <f>_xlfn.XLOOKUP(DomaceNaloge[[#This Row],[Vpisna]],Rezultati[Vpisna],Rezultati[Program])</f>
        <v>FIN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N97">
        <f>SUM(DomaceNaloge[[#This Row],[1]:[10]])</f>
        <v>6</v>
      </c>
    </row>
    <row r="98" spans="2:14" x14ac:dyDescent="0.2">
      <c r="B98">
        <v>27000202</v>
      </c>
      <c r="C98" t="str">
        <f>_xlfn.XLOOKUP(DomaceNaloge[[#This Row],[Vpisna]],Rezultati[Vpisna],Rezultati[Program])</f>
        <v>FIN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N98">
        <f>SUM(DomaceNaloge[[#This Row],[1]:[10]])</f>
        <v>8</v>
      </c>
    </row>
    <row r="99" spans="2:14" x14ac:dyDescent="0.2">
      <c r="B99">
        <v>27000203</v>
      </c>
      <c r="C99" t="str">
        <f>_xlfn.XLOOKUP(DomaceNaloge[[#This Row],[Vpisna]],Rezultati[Vpisna],Rezultati[Program])</f>
        <v>FIN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M99">
        <v>1</v>
      </c>
      <c r="N99">
        <f>SUM(DomaceNaloge[[#This Row],[1]:[10]])</f>
        <v>9</v>
      </c>
    </row>
    <row r="100" spans="2:14" x14ac:dyDescent="0.2">
      <c r="B100">
        <v>27000204</v>
      </c>
      <c r="C100" t="str">
        <f>_xlfn.XLOOKUP(DomaceNaloge[[#This Row],[Vpisna]],Rezultati[Vpisna],Rezultati[Program])</f>
        <v>FIN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N100">
        <f>SUM(DomaceNaloge[[#This Row],[1]:[10]])</f>
        <v>7</v>
      </c>
    </row>
    <row r="101" spans="2:14" x14ac:dyDescent="0.2">
      <c r="B101">
        <v>27000205</v>
      </c>
      <c r="C101" t="str">
        <f>_xlfn.XLOOKUP(DomaceNaloge[[#This Row],[Vpisna]],Rezultati[Vpisna],Rezultati[Program])</f>
        <v>FIN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M101">
        <v>1</v>
      </c>
      <c r="N101">
        <f>SUM(DomaceNaloge[[#This Row],[1]:[10]])</f>
        <v>9</v>
      </c>
    </row>
    <row r="102" spans="2:14" x14ac:dyDescent="0.2">
      <c r="B102">
        <v>27000206</v>
      </c>
      <c r="C102" t="str">
        <f>_xlfn.XLOOKUP(DomaceNaloge[[#This Row],[Vpisna]],Rezultati[Vpisna],Rezultati[Program])</f>
        <v>FIN</v>
      </c>
      <c r="D102">
        <v>1</v>
      </c>
      <c r="E102">
        <v>0</v>
      </c>
      <c r="F102">
        <v>0</v>
      </c>
      <c r="H102">
        <v>0</v>
      </c>
      <c r="I102">
        <v>1</v>
      </c>
      <c r="J102">
        <v>1</v>
      </c>
      <c r="K102">
        <v>1</v>
      </c>
      <c r="N102">
        <f>SUM(DomaceNaloge[[#This Row],[1]:[10]])</f>
        <v>4</v>
      </c>
    </row>
    <row r="103" spans="2:14" x14ac:dyDescent="0.2">
      <c r="B103">
        <v>27000207</v>
      </c>
      <c r="C103" t="str">
        <f>_xlfn.XLOOKUP(DomaceNaloge[[#This Row],[Vpisna]],Rezultati[Vpisna],Rezultati[Program])</f>
        <v>FIN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N103">
        <f>SUM(DomaceNaloge[[#This Row],[1]:[10]])</f>
        <v>8</v>
      </c>
    </row>
    <row r="104" spans="2:14" x14ac:dyDescent="0.2">
      <c r="B104">
        <v>27000210</v>
      </c>
      <c r="C104" t="str">
        <f>_xlfn.XLOOKUP(DomaceNaloge[[#This Row],[Vpisna]],Rezultati[Vpisna],Rezultati[Program])</f>
        <v>MAT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N104">
        <f>SUM(DomaceNaloge[[#This Row],[1]:[10]])</f>
        <v>8</v>
      </c>
    </row>
    <row r="105" spans="2:14" x14ac:dyDescent="0.2">
      <c r="B105">
        <v>27000211</v>
      </c>
      <c r="C105" t="str">
        <f>_xlfn.XLOOKUP(DomaceNaloge[[#This Row],[Vpisna]],Rezultati[Vpisna],Rezultati[Program])</f>
        <v>MAT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N105">
        <f>SUM(DomaceNaloge[[#This Row],[1]:[10]])</f>
        <v>8</v>
      </c>
    </row>
    <row r="106" spans="2:14" x14ac:dyDescent="0.2">
      <c r="B106">
        <v>27000212</v>
      </c>
      <c r="C106" t="str">
        <f>_xlfn.XLOOKUP(DomaceNaloge[[#This Row],[Vpisna]],Rezultati[Vpisna],Rezultati[Program])</f>
        <v>MAT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M106">
        <v>1</v>
      </c>
      <c r="N106">
        <f>SUM(DomaceNaloge[[#This Row],[1]:[10]])</f>
        <v>8</v>
      </c>
    </row>
    <row r="107" spans="2:14" x14ac:dyDescent="0.2">
      <c r="B107">
        <v>27000213</v>
      </c>
      <c r="C107" t="str">
        <f>_xlfn.XLOOKUP(DomaceNaloge[[#This Row],[Vpisna]],Rezultati[Vpisna],Rezultati[Program])</f>
        <v>MAT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N107">
        <f>SUM(DomaceNaloge[[#This Row],[1]:[10]])</f>
        <v>8</v>
      </c>
    </row>
    <row r="108" spans="2:14" x14ac:dyDescent="0.2">
      <c r="B108">
        <v>27000214</v>
      </c>
      <c r="C108" t="str">
        <f>_xlfn.XLOOKUP(DomaceNaloge[[#This Row],[Vpisna]],Rezultati[Vpisna],Rezultati[Program])</f>
        <v>MAT</v>
      </c>
      <c r="D108">
        <v>1</v>
      </c>
      <c r="E108">
        <v>0</v>
      </c>
      <c r="F108">
        <v>0</v>
      </c>
      <c r="H108">
        <v>0</v>
      </c>
      <c r="I108">
        <v>1</v>
      </c>
      <c r="J108">
        <v>1</v>
      </c>
      <c r="K108">
        <v>1</v>
      </c>
      <c r="N108">
        <f>SUM(DomaceNaloge[[#This Row],[1]:[10]])</f>
        <v>4</v>
      </c>
    </row>
    <row r="109" spans="2:14" x14ac:dyDescent="0.2">
      <c r="B109">
        <v>27000216</v>
      </c>
      <c r="C109" t="str">
        <f>_xlfn.XLOOKUP(DomaceNaloge[[#This Row],[Vpisna]],Rezultati[Vpisna],Rezultati[Program])</f>
        <v>MAT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M109">
        <v>1</v>
      </c>
      <c r="N109">
        <f>SUM(DomaceNaloge[[#This Row],[1]:[10]])</f>
        <v>9</v>
      </c>
    </row>
    <row r="110" spans="2:14" x14ac:dyDescent="0.2">
      <c r="B110">
        <v>27000217</v>
      </c>
      <c r="C110" t="str">
        <f>_xlfn.XLOOKUP(DomaceNaloge[[#This Row],[Vpisna]],Rezultati[Vpisna],Rezultati[Program])</f>
        <v>MAT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N110">
        <f>SUM(DomaceNaloge[[#This Row],[1]:[10]])</f>
        <v>8</v>
      </c>
    </row>
    <row r="111" spans="2:14" x14ac:dyDescent="0.2">
      <c r="B111">
        <v>27000221</v>
      </c>
      <c r="C111" t="str">
        <f>_xlfn.XLOOKUP(DomaceNaloge[[#This Row],[Vpisna]],Rezultati[Vpisna],Rezultati[Program])</f>
        <v>MAT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N111">
        <f>SUM(DomaceNaloge[[#This Row],[1]:[10]])</f>
        <v>7</v>
      </c>
    </row>
    <row r="112" spans="2:14" x14ac:dyDescent="0.2">
      <c r="B112">
        <v>27000223</v>
      </c>
      <c r="C112" t="str">
        <f>_xlfn.XLOOKUP(DomaceNaloge[[#This Row],[Vpisna]],Rezultati[Vpisna],Rezultati[Program])</f>
        <v>MAT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M112">
        <v>1</v>
      </c>
      <c r="N112">
        <f>SUM(DomaceNaloge[[#This Row],[1]:[10]])</f>
        <v>9</v>
      </c>
    </row>
    <row r="113" spans="2:14" x14ac:dyDescent="0.2">
      <c r="B113">
        <v>27000225</v>
      </c>
      <c r="C113" t="str">
        <f>_xlfn.XLOOKUP(DomaceNaloge[[#This Row],[Vpisna]],Rezultati[Vpisna],Rezultati[Program])</f>
        <v>MAT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M113">
        <v>1</v>
      </c>
      <c r="N113">
        <f>SUM(DomaceNaloge[[#This Row],[1]:[10]])</f>
        <v>9</v>
      </c>
    </row>
    <row r="114" spans="2:14" x14ac:dyDescent="0.2">
      <c r="B114">
        <v>27000226</v>
      </c>
      <c r="C114" t="str">
        <f>_xlfn.XLOOKUP(DomaceNaloge[[#This Row],[Vpisna]],Rezultati[Vpisna],Rezultati[Program])</f>
        <v>MAT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M114">
        <v>1</v>
      </c>
      <c r="N114">
        <f>SUM(DomaceNaloge[[#This Row],[1]:[10]])</f>
        <v>7</v>
      </c>
    </row>
    <row r="115" spans="2:14" x14ac:dyDescent="0.2">
      <c r="B115">
        <v>27000227</v>
      </c>
      <c r="C115" t="str">
        <f>_xlfn.XLOOKUP(DomaceNaloge[[#This Row],[Vpisna]],Rezultati[Vpisna],Rezultati[Program])</f>
        <v>MAT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N115">
        <f>SUM(DomaceNaloge[[#This Row],[1]:[10]])</f>
        <v>8</v>
      </c>
    </row>
    <row r="116" spans="2:14" x14ac:dyDescent="0.2">
      <c r="B116">
        <v>27000230</v>
      </c>
      <c r="C116" t="str">
        <f>_xlfn.XLOOKUP(DomaceNaloge[[#This Row],[Vpisna]],Rezultati[Vpisna],Rezultati[Program])</f>
        <v>MAT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M116">
        <v>1</v>
      </c>
      <c r="N116">
        <f>SUM(DomaceNaloge[[#This Row],[1]:[10]])</f>
        <v>9</v>
      </c>
    </row>
    <row r="117" spans="2:14" x14ac:dyDescent="0.2">
      <c r="B117">
        <v>27000231</v>
      </c>
      <c r="C117" t="str">
        <f>_xlfn.XLOOKUP(DomaceNaloge[[#This Row],[Vpisna]],Rezultati[Vpisna],Rezultati[Program])</f>
        <v>MAT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M117">
        <v>0</v>
      </c>
      <c r="N117">
        <f>SUM(DomaceNaloge[[#This Row],[1]:[10]])</f>
        <v>8</v>
      </c>
    </row>
    <row r="118" spans="2:14" x14ac:dyDescent="0.2">
      <c r="B118">
        <v>27000232</v>
      </c>
      <c r="C118" t="str">
        <f>_xlfn.XLOOKUP(DomaceNaloge[[#This Row],[Vpisna]],Rezultati[Vpisna],Rezultati[Program])</f>
        <v>MAT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M118">
        <v>0</v>
      </c>
      <c r="N118">
        <f>SUM(DomaceNaloge[[#This Row],[1]:[10]])</f>
        <v>7</v>
      </c>
    </row>
    <row r="119" spans="2:14" x14ac:dyDescent="0.2">
      <c r="B119">
        <v>27000234</v>
      </c>
      <c r="C119" t="str">
        <f>_xlfn.XLOOKUP(DomaceNaloge[[#This Row],[Vpisna]],Rezultati[Vpisna],Rezultati[Program])</f>
        <v>MAT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f>SUM(DomaceNaloge[[#This Row],[1]:[10]])</f>
        <v>10</v>
      </c>
    </row>
    <row r="120" spans="2:14" x14ac:dyDescent="0.2">
      <c r="B120">
        <v>27000236</v>
      </c>
      <c r="C120" t="str">
        <f>_xlfn.XLOOKUP(DomaceNaloge[[#This Row],[Vpisna]],Rezultati[Vpisna],Rezultati[Program])</f>
        <v>MAT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f>SUM(DomaceNaloge[[#This Row],[1]:[10]])</f>
        <v>10</v>
      </c>
    </row>
    <row r="121" spans="2:14" x14ac:dyDescent="0.2">
      <c r="B121">
        <v>27000237</v>
      </c>
      <c r="C121" t="str">
        <f>_xlfn.XLOOKUP(DomaceNaloge[[#This Row],[Vpisna]],Rezultati[Vpisna],Rezultati[Program])</f>
        <v>MAT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M121">
        <v>1</v>
      </c>
      <c r="N121">
        <f>SUM(DomaceNaloge[[#This Row],[1]:[10]])</f>
        <v>8</v>
      </c>
    </row>
    <row r="122" spans="2:14" x14ac:dyDescent="0.2">
      <c r="B122">
        <v>27000238</v>
      </c>
      <c r="C122" t="str">
        <f>_xlfn.XLOOKUP(DomaceNaloge[[#This Row],[Vpisna]],Rezultati[Vpisna],Rezultati[Program])</f>
        <v>MAT</v>
      </c>
      <c r="D122">
        <v>1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1</v>
      </c>
      <c r="N122">
        <f>SUM(DomaceNaloge[[#This Row],[1]:[10]])</f>
        <v>6</v>
      </c>
    </row>
    <row r="123" spans="2:14" x14ac:dyDescent="0.2">
      <c r="B123">
        <v>27000239</v>
      </c>
      <c r="C123" t="str">
        <f>_xlfn.XLOOKUP(DomaceNaloge[[#This Row],[Vpisna]],Rezultati[Vpisna],Rezultati[Program])</f>
        <v>MAT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N123">
        <f>SUM(DomaceNaloge[[#This Row],[1]:[10]])</f>
        <v>8</v>
      </c>
    </row>
    <row r="124" spans="2:14" x14ac:dyDescent="0.2">
      <c r="B124">
        <v>27000240</v>
      </c>
      <c r="C124" t="str">
        <f>_xlfn.XLOOKUP(DomaceNaloge[[#This Row],[Vpisna]],Rezultati[Vpisna],Rezultati[Program])</f>
        <v>MAT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N124">
        <f>SUM(DomaceNaloge[[#This Row],[1]:[10]])</f>
        <v>7</v>
      </c>
    </row>
    <row r="125" spans="2:14" x14ac:dyDescent="0.2">
      <c r="B125">
        <v>27000245</v>
      </c>
      <c r="C125" t="str">
        <f>_xlfn.XLOOKUP(DomaceNaloge[[#This Row],[Vpisna]],Rezultati[Vpisna],Rezultati[Program])</f>
        <v>MAT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M125">
        <v>1</v>
      </c>
      <c r="N125">
        <f>SUM(DomaceNaloge[[#This Row],[1]:[10]])</f>
        <v>8</v>
      </c>
    </row>
    <row r="126" spans="2:14" x14ac:dyDescent="0.2">
      <c r="B126">
        <v>27000246</v>
      </c>
      <c r="C126" t="str">
        <f>_xlfn.XLOOKUP(DomaceNaloge[[#This Row],[Vpisna]],Rezultati[Vpisna],Rezultati[Program])</f>
        <v>MAT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f>SUM(DomaceNaloge[[#This Row],[1]:[10]])</f>
        <v>10</v>
      </c>
    </row>
    <row r="127" spans="2:14" x14ac:dyDescent="0.2">
      <c r="B127">
        <v>27000247</v>
      </c>
      <c r="C127" t="str">
        <f>_xlfn.XLOOKUP(DomaceNaloge[[#This Row],[Vpisna]],Rezultati[Vpisna],Rezultati[Program])</f>
        <v>MAT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f>SUM(DomaceNaloge[[#This Row],[1]:[10]])</f>
        <v>10</v>
      </c>
    </row>
    <row r="128" spans="2:14" x14ac:dyDescent="0.2">
      <c r="B128">
        <v>27000248</v>
      </c>
      <c r="C128" t="str">
        <f>_xlfn.XLOOKUP(DomaceNaloge[[#This Row],[Vpisna]],Rezultati[Vpisna],Rezultati[Program])</f>
        <v>MAT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N128">
        <f>SUM(DomaceNaloge[[#This Row],[1]:[10]])</f>
        <v>7</v>
      </c>
    </row>
    <row r="129" spans="2:14" x14ac:dyDescent="0.2">
      <c r="B129">
        <v>27000250</v>
      </c>
      <c r="C129" t="str">
        <f>_xlfn.XLOOKUP(DomaceNaloge[[#This Row],[Vpisna]],Rezultati[Vpisna],Rezultati[Program])</f>
        <v>MAT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f>SUM(DomaceNaloge[[#This Row],[1]:[10]])</f>
        <v>10</v>
      </c>
    </row>
    <row r="130" spans="2:14" x14ac:dyDescent="0.2">
      <c r="B130">
        <v>27000251</v>
      </c>
      <c r="C130" t="str">
        <f>_xlfn.XLOOKUP(DomaceNaloge[[#This Row],[Vpisna]],Rezultati[Vpisna],Rezultati[Program])</f>
        <v>MAT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f>SUM(DomaceNaloge[[#This Row],[1]:[10]])</f>
        <v>10</v>
      </c>
    </row>
    <row r="131" spans="2:14" x14ac:dyDescent="0.2">
      <c r="B131">
        <v>27000254</v>
      </c>
      <c r="C131" t="str">
        <f>_xlfn.XLOOKUP(DomaceNaloge[[#This Row],[Vpisna]],Rezultati[Vpisna],Rezultati[Program])</f>
        <v>MAT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N131">
        <f>SUM(DomaceNaloge[[#This Row],[1]:[10]])</f>
        <v>8</v>
      </c>
    </row>
    <row r="132" spans="2:14" x14ac:dyDescent="0.2">
      <c r="B132">
        <v>27000255</v>
      </c>
      <c r="C132" t="str">
        <f>_xlfn.XLOOKUP(DomaceNaloge[[#This Row],[Vpisna]],Rezultati[Vpisna],Rezultati[Program])</f>
        <v>MAT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M132">
        <v>1</v>
      </c>
      <c r="N132">
        <f>SUM(DomaceNaloge[[#This Row],[1]:[10]])</f>
        <v>9</v>
      </c>
    </row>
    <row r="133" spans="2:14" x14ac:dyDescent="0.2">
      <c r="B133">
        <v>27000257</v>
      </c>
      <c r="C133" t="str">
        <f>_xlfn.XLOOKUP(DomaceNaloge[[#This Row],[Vpisna]],Rezultati[Vpisna],Rezultati[Program])</f>
        <v>MAT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M133">
        <v>1</v>
      </c>
      <c r="N133">
        <f>SUM(DomaceNaloge[[#This Row],[1]:[10]])</f>
        <v>9</v>
      </c>
    </row>
    <row r="134" spans="2:14" x14ac:dyDescent="0.2">
      <c r="B134">
        <v>27000259</v>
      </c>
      <c r="C134" t="str">
        <f>_xlfn.XLOOKUP(DomaceNaloge[[#This Row],[Vpisna]],Rezultati[Vpisna],Rezultati[Program])</f>
        <v>MAT</v>
      </c>
      <c r="D134">
        <v>1</v>
      </c>
      <c r="E134">
        <v>1</v>
      </c>
      <c r="F134">
        <v>1</v>
      </c>
      <c r="H134">
        <v>1</v>
      </c>
      <c r="I134">
        <v>1</v>
      </c>
      <c r="J134">
        <v>1</v>
      </c>
      <c r="K134">
        <v>1</v>
      </c>
      <c r="N134">
        <f>SUM(DomaceNaloge[[#This Row],[1]:[10]])</f>
        <v>7</v>
      </c>
    </row>
    <row r="135" spans="2:14" x14ac:dyDescent="0.2">
      <c r="B135">
        <v>27000261</v>
      </c>
      <c r="C135" t="str">
        <f>_xlfn.XLOOKUP(DomaceNaloge[[#This Row],[Vpisna]],Rezultati[Vpisna],Rezultati[Program])</f>
        <v>MAT</v>
      </c>
      <c r="D135">
        <v>1</v>
      </c>
      <c r="E135">
        <v>0</v>
      </c>
      <c r="F135">
        <v>1</v>
      </c>
      <c r="H135">
        <v>1</v>
      </c>
      <c r="I135">
        <v>1</v>
      </c>
      <c r="J135">
        <v>1</v>
      </c>
      <c r="K135">
        <v>1</v>
      </c>
      <c r="N135">
        <f>SUM(DomaceNaloge[[#This Row],[1]:[10]])</f>
        <v>6</v>
      </c>
    </row>
    <row r="136" spans="2:14" x14ac:dyDescent="0.2">
      <c r="B136">
        <v>27000263</v>
      </c>
      <c r="C136" t="str">
        <f>_xlfn.XLOOKUP(DomaceNaloge[[#This Row],[Vpisna]],Rezultati[Vpisna],Rezultati[Program])</f>
        <v>MAT</v>
      </c>
      <c r="D136">
        <v>1</v>
      </c>
      <c r="E136">
        <v>0</v>
      </c>
      <c r="F136">
        <v>0</v>
      </c>
      <c r="H136">
        <v>0</v>
      </c>
      <c r="I136">
        <v>1</v>
      </c>
      <c r="J136">
        <v>1</v>
      </c>
      <c r="K136">
        <v>1</v>
      </c>
      <c r="N136">
        <f>SUM(DomaceNaloge[[#This Row],[1]:[10]])</f>
        <v>4</v>
      </c>
    </row>
    <row r="137" spans="2:14" x14ac:dyDescent="0.2">
      <c r="B137">
        <v>27000268</v>
      </c>
      <c r="C137" t="str">
        <f>_xlfn.XLOOKUP(DomaceNaloge[[#This Row],[Vpisna]],Rezultati[Vpisna],Rezultati[Program])</f>
        <v>MAT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N137">
        <f>SUM(DomaceNaloge[[#This Row],[1]:[10]])</f>
        <v>8</v>
      </c>
    </row>
    <row r="138" spans="2:14" x14ac:dyDescent="0.2">
      <c r="B138">
        <v>27000270</v>
      </c>
      <c r="C138" t="str">
        <f>_xlfn.XLOOKUP(DomaceNaloge[[#This Row],[Vpisna]],Rezultati[Vpisna],Rezultati[Program])</f>
        <v>MAT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f>SUM(DomaceNaloge[[#This Row],[1]:[10]])</f>
        <v>9</v>
      </c>
    </row>
    <row r="139" spans="2:14" x14ac:dyDescent="0.2">
      <c r="B139">
        <v>27000271</v>
      </c>
      <c r="C139" t="str">
        <f>_xlfn.XLOOKUP(DomaceNaloge[[#This Row],[Vpisna]],Rezultati[Vpisna],Rezultati[Program])</f>
        <v>MAT</v>
      </c>
      <c r="D139">
        <v>1</v>
      </c>
      <c r="E139">
        <v>0</v>
      </c>
      <c r="F139">
        <v>0</v>
      </c>
      <c r="H139">
        <v>0</v>
      </c>
      <c r="I139">
        <v>1</v>
      </c>
      <c r="J139">
        <v>1</v>
      </c>
      <c r="K139">
        <v>1</v>
      </c>
      <c r="N139">
        <f>SUM(DomaceNaloge[[#This Row],[1]:[10]])</f>
        <v>4</v>
      </c>
    </row>
    <row r="140" spans="2:14" x14ac:dyDescent="0.2">
      <c r="B140">
        <v>27000272</v>
      </c>
      <c r="C140" t="str">
        <f>_xlfn.XLOOKUP(DomaceNaloge[[#This Row],[Vpisna]],Rezultati[Vpisna],Rezultati[Program])</f>
        <v>APF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N140">
        <f>SUM(DomaceNaloge[[#This Row],[1]:[10]])</f>
        <v>6</v>
      </c>
    </row>
    <row r="141" spans="2:14" x14ac:dyDescent="0.2">
      <c r="B141">
        <v>27000274</v>
      </c>
      <c r="C141" t="str">
        <f>_xlfn.XLOOKUP(DomaceNaloge[[#This Row],[Vpisna]],Rezultati[Vpisna],Rezultati[Program])</f>
        <v>MAT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f>SUM(DomaceNaloge[[#This Row],[1]:[10]])</f>
        <v>8</v>
      </c>
    </row>
    <row r="142" spans="2:14" x14ac:dyDescent="0.2">
      <c r="B142">
        <v>27000276</v>
      </c>
      <c r="C142" t="str">
        <f>_xlfn.XLOOKUP(DomaceNaloge[[#This Row],[Vpisna]],Rezultati[Vpisna],Rezultati[Program])</f>
        <v>MAT</v>
      </c>
      <c r="D142">
        <v>1</v>
      </c>
      <c r="E142">
        <v>0</v>
      </c>
      <c r="F142">
        <v>1</v>
      </c>
      <c r="H142">
        <v>1</v>
      </c>
      <c r="I142">
        <v>1</v>
      </c>
      <c r="J142">
        <v>1</v>
      </c>
      <c r="K142">
        <v>1</v>
      </c>
      <c r="N142">
        <f>SUM(DomaceNaloge[[#This Row],[1]:[10]])</f>
        <v>6</v>
      </c>
    </row>
    <row r="143" spans="2:14" x14ac:dyDescent="0.2">
      <c r="B143">
        <v>27000278</v>
      </c>
      <c r="C143" t="str">
        <f>_xlfn.XLOOKUP(DomaceNaloge[[#This Row],[Vpisna]],Rezultati[Vpisna],Rezultati[Program])</f>
        <v>MAT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M143">
        <v>1</v>
      </c>
      <c r="N143">
        <f>SUM(DomaceNaloge[[#This Row],[1]:[10]])</f>
        <v>9</v>
      </c>
    </row>
    <row r="144" spans="2:14" x14ac:dyDescent="0.2">
      <c r="B144">
        <v>27000279</v>
      </c>
      <c r="C144" t="str">
        <f>_xlfn.XLOOKUP(DomaceNaloge[[#This Row],[Vpisna]],Rezultati[Vpisna],Rezultati[Program])</f>
        <v>APF</v>
      </c>
      <c r="D144">
        <v>1</v>
      </c>
      <c r="E144">
        <v>1</v>
      </c>
      <c r="F144">
        <v>1</v>
      </c>
      <c r="H144">
        <v>1</v>
      </c>
      <c r="I144">
        <v>1</v>
      </c>
      <c r="J144">
        <v>1</v>
      </c>
      <c r="K144">
        <v>1</v>
      </c>
      <c r="N144">
        <f>SUM(DomaceNaloge[[#This Row],[1]:[10]])</f>
        <v>7</v>
      </c>
    </row>
    <row r="145" spans="2:14" x14ac:dyDescent="0.2">
      <c r="B145">
        <v>27000280</v>
      </c>
      <c r="C145" t="str">
        <f>_xlfn.XLOOKUP(DomaceNaloge[[#This Row],[Vpisna]],Rezultati[Vpisna],Rezultati[Program])</f>
        <v>MAT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M145">
        <v>1</v>
      </c>
      <c r="N145">
        <f>SUM(DomaceNaloge[[#This Row],[1]:[10]])</f>
        <v>9</v>
      </c>
    </row>
    <row r="146" spans="2:14" x14ac:dyDescent="0.2">
      <c r="B146">
        <v>27000281</v>
      </c>
      <c r="C146" t="str">
        <f>_xlfn.XLOOKUP(DomaceNaloge[[#This Row],[Vpisna]],Rezultati[Vpisna],Rezultati[Program])</f>
        <v>MAT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1</v>
      </c>
      <c r="M146">
        <v>1</v>
      </c>
      <c r="N146">
        <f>SUM(DomaceNaloge[[#This Row],[1]:[10]])</f>
        <v>7</v>
      </c>
    </row>
    <row r="147" spans="2:14" x14ac:dyDescent="0.2">
      <c r="B147">
        <v>27000286</v>
      </c>
      <c r="C147" t="str">
        <f>_xlfn.XLOOKUP(DomaceNaloge[[#This Row],[Vpisna]],Rezultati[Vpisna],Rezultati[Program])</f>
        <v>MAT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N147">
        <f>SUM(DomaceNaloge[[#This Row],[1]:[10]])</f>
        <v>8</v>
      </c>
    </row>
    <row r="148" spans="2:14" x14ac:dyDescent="0.2">
      <c r="B148">
        <v>27000287</v>
      </c>
      <c r="C148" t="str">
        <f>_xlfn.XLOOKUP(DomaceNaloge[[#This Row],[Vpisna]],Rezultati[Vpisna],Rezultati[Program])</f>
        <v>MAT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M148">
        <v>1</v>
      </c>
      <c r="N148">
        <f>SUM(DomaceNaloge[[#This Row],[1]:[10]])</f>
        <v>9</v>
      </c>
    </row>
    <row r="149" spans="2:14" x14ac:dyDescent="0.2">
      <c r="B149">
        <v>27000289</v>
      </c>
      <c r="C149" t="str">
        <f>_xlfn.XLOOKUP(DomaceNaloge[[#This Row],[Vpisna]],Rezultati[Vpisna],Rezultati[Program])</f>
        <v>MAT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f>SUM(DomaceNaloge[[#This Row],[1]:[10]])</f>
        <v>10</v>
      </c>
    </row>
    <row r="150" spans="2:14" x14ac:dyDescent="0.2">
      <c r="B150">
        <v>27000290</v>
      </c>
      <c r="C150" t="str">
        <f>_xlfn.XLOOKUP(DomaceNaloge[[#This Row],[Vpisna]],Rezultati[Vpisna],Rezultati[Program])</f>
        <v>MAT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M150">
        <v>1</v>
      </c>
      <c r="N150">
        <f>SUM(DomaceNaloge[[#This Row],[1]:[10]])</f>
        <v>9</v>
      </c>
    </row>
    <row r="151" spans="2:14" x14ac:dyDescent="0.2">
      <c r="B151">
        <v>27000291</v>
      </c>
      <c r="C151" t="str">
        <f>_xlfn.XLOOKUP(DomaceNaloge[[#This Row],[Vpisna]],Rezultati[Vpisna],Rezultati[Program])</f>
        <v>MAT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N151">
        <f>SUM(DomaceNaloge[[#This Row],[1]:[10]])</f>
        <v>8</v>
      </c>
    </row>
    <row r="152" spans="2:14" x14ac:dyDescent="0.2">
      <c r="B152">
        <v>27000293</v>
      </c>
      <c r="C152" t="str">
        <f>_xlfn.XLOOKUP(DomaceNaloge[[#This Row],[Vpisna]],Rezultati[Vpisna],Rezultati[Program])</f>
        <v>MAT</v>
      </c>
      <c r="D152">
        <v>1</v>
      </c>
      <c r="E152">
        <v>0</v>
      </c>
      <c r="F152">
        <v>0</v>
      </c>
      <c r="H152">
        <v>0</v>
      </c>
      <c r="I152">
        <v>1</v>
      </c>
      <c r="J152">
        <v>1</v>
      </c>
      <c r="K152">
        <v>1</v>
      </c>
      <c r="N152">
        <f>SUM(DomaceNaloge[[#This Row],[1]:[10]])</f>
        <v>4</v>
      </c>
    </row>
    <row r="153" spans="2:14" x14ac:dyDescent="0.2">
      <c r="B153">
        <v>27000294</v>
      </c>
      <c r="C153" t="str">
        <f>_xlfn.XLOOKUP(DomaceNaloge[[#This Row],[Vpisna]],Rezultati[Vpisna],Rezultati[Program])</f>
        <v>MAT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M153">
        <v>1</v>
      </c>
      <c r="N153">
        <f>SUM(DomaceNaloge[[#This Row],[1]:[10]])</f>
        <v>9</v>
      </c>
    </row>
    <row r="154" spans="2:14" x14ac:dyDescent="0.2">
      <c r="B154">
        <v>27000296</v>
      </c>
      <c r="C154" t="str">
        <f>_xlfn.XLOOKUP(DomaceNaloge[[#This Row],[Vpisna]],Rezultati[Vpisna],Rezultati[Program])</f>
        <v>MAT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N154">
        <f>SUM(DomaceNaloge[[#This Row],[1]:[10]])</f>
        <v>8</v>
      </c>
    </row>
    <row r="155" spans="2:14" x14ac:dyDescent="0.2">
      <c r="B155">
        <v>27000297</v>
      </c>
      <c r="C155" t="str">
        <f>_xlfn.XLOOKUP(DomaceNaloge[[#This Row],[Vpisna]],Rezultati[Vpisna],Rezultati[Program])</f>
        <v>MAT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N155">
        <f>SUM(DomaceNaloge[[#This Row],[1]:[10]])</f>
        <v>7</v>
      </c>
    </row>
    <row r="156" spans="2:14" x14ac:dyDescent="0.2">
      <c r="B156">
        <v>27000300</v>
      </c>
      <c r="C156" t="str">
        <f>_xlfn.XLOOKUP(DomaceNaloge[[#This Row],[Vpisna]],Rezultati[Vpisna],Rezultati[Program])</f>
        <v>MAT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M156">
        <v>1</v>
      </c>
      <c r="N156">
        <f>SUM(DomaceNaloge[[#This Row],[1]:[10]])</f>
        <v>9</v>
      </c>
    </row>
    <row r="157" spans="2:14" x14ac:dyDescent="0.2">
      <c r="B157">
        <v>27000301</v>
      </c>
      <c r="C157" t="str">
        <f>_xlfn.XLOOKUP(DomaceNaloge[[#This Row],[Vpisna]],Rezultati[Vpisna],Rezultati[Program])</f>
        <v>MAT</v>
      </c>
      <c r="D157">
        <v>1</v>
      </c>
      <c r="E157">
        <v>0</v>
      </c>
      <c r="F157">
        <v>0</v>
      </c>
      <c r="H157">
        <v>0</v>
      </c>
      <c r="I157">
        <v>1</v>
      </c>
      <c r="J157">
        <v>1</v>
      </c>
      <c r="K157">
        <v>1</v>
      </c>
      <c r="N157">
        <f>SUM(DomaceNaloge[[#This Row],[1]:[10]])</f>
        <v>4</v>
      </c>
    </row>
    <row r="158" spans="2:14" x14ac:dyDescent="0.2">
      <c r="B158">
        <v>27000302</v>
      </c>
      <c r="C158" t="str">
        <f>_xlfn.XLOOKUP(DomaceNaloge[[#This Row],[Vpisna]],Rezultati[Vpisna],Rezultati[Program])</f>
        <v>MAT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N158">
        <f>SUM(DomaceNaloge[[#This Row],[1]:[10]])</f>
        <v>6</v>
      </c>
    </row>
    <row r="159" spans="2:14" x14ac:dyDescent="0.2">
      <c r="B159">
        <v>27000303</v>
      </c>
      <c r="C159" t="str">
        <f>_xlfn.XLOOKUP(DomaceNaloge[[#This Row],[Vpisna]],Rezultati[Vpisna],Rezultati[Program])</f>
        <v>MAT</v>
      </c>
      <c r="D159">
        <v>1</v>
      </c>
      <c r="E159">
        <v>1</v>
      </c>
      <c r="F159">
        <v>0</v>
      </c>
      <c r="H159">
        <v>1</v>
      </c>
      <c r="I159">
        <v>1</v>
      </c>
      <c r="J159">
        <v>1</v>
      </c>
      <c r="K159">
        <v>1</v>
      </c>
      <c r="N159">
        <f>SUM(DomaceNaloge[[#This Row],[1]:[10]])</f>
        <v>6</v>
      </c>
    </row>
    <row r="160" spans="2:14" x14ac:dyDescent="0.2">
      <c r="B160">
        <v>27000304</v>
      </c>
      <c r="C160" t="str">
        <f>_xlfn.XLOOKUP(DomaceNaloge[[#This Row],[Vpisna]],Rezultati[Vpisna],Rezultati[Program])</f>
        <v>MAT</v>
      </c>
      <c r="D160">
        <v>1</v>
      </c>
      <c r="E160">
        <v>0</v>
      </c>
      <c r="F160">
        <v>1</v>
      </c>
      <c r="H160">
        <v>0</v>
      </c>
      <c r="I160">
        <v>1</v>
      </c>
      <c r="J160">
        <v>1</v>
      </c>
      <c r="K160">
        <v>1</v>
      </c>
      <c r="N160">
        <f>SUM(DomaceNaloge[[#This Row],[1]:[10]])</f>
        <v>5</v>
      </c>
    </row>
    <row r="161" spans="2:14" x14ac:dyDescent="0.2">
      <c r="B161">
        <v>27000305</v>
      </c>
      <c r="C161" t="str">
        <f>_xlfn.XLOOKUP(DomaceNaloge[[#This Row],[Vpisna]],Rezultati[Vpisna],Rezultati[Program])</f>
        <v>MAT</v>
      </c>
      <c r="D161">
        <v>1</v>
      </c>
      <c r="E161">
        <v>0</v>
      </c>
      <c r="F161">
        <v>0</v>
      </c>
      <c r="H161">
        <v>0</v>
      </c>
      <c r="I161">
        <v>1</v>
      </c>
      <c r="J161">
        <v>1</v>
      </c>
      <c r="K161">
        <v>1</v>
      </c>
      <c r="N161">
        <f>SUM(DomaceNaloge[[#This Row],[1]:[10]])</f>
        <v>4</v>
      </c>
    </row>
    <row r="162" spans="2:14" x14ac:dyDescent="0.2">
      <c r="B162">
        <v>27000307</v>
      </c>
      <c r="C162" t="str">
        <f>_xlfn.XLOOKUP(DomaceNaloge[[#This Row],[Vpisna]],Rezultati[Vpisna],Rezultati[Program])</f>
        <v>PED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f>SUM(DomaceNaloge[[#This Row],[1]:[10]])</f>
        <v>9</v>
      </c>
    </row>
    <row r="163" spans="2:14" x14ac:dyDescent="0.2">
      <c r="B163">
        <v>27000308</v>
      </c>
      <c r="C163" t="str">
        <f>_xlfn.XLOOKUP(DomaceNaloge[[#This Row],[Vpisna]],Rezultati[Vpisna],Rezultati[Program])</f>
        <v>PED</v>
      </c>
      <c r="D163">
        <v>1</v>
      </c>
      <c r="E163">
        <v>1</v>
      </c>
      <c r="F163">
        <v>0</v>
      </c>
      <c r="H163">
        <v>0</v>
      </c>
      <c r="I163">
        <v>1</v>
      </c>
      <c r="J163">
        <v>1</v>
      </c>
      <c r="K163">
        <v>1</v>
      </c>
      <c r="N163">
        <f>SUM(DomaceNaloge[[#This Row],[1]:[10]])</f>
        <v>5</v>
      </c>
    </row>
    <row r="164" spans="2:14" x14ac:dyDescent="0.2">
      <c r="B164">
        <v>27000309</v>
      </c>
      <c r="C164" t="str">
        <f>_xlfn.XLOOKUP(DomaceNaloge[[#This Row],[Vpisna]],Rezultati[Vpisna],Rezultati[Program])</f>
        <v>PED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M164">
        <v>1</v>
      </c>
      <c r="N164">
        <f>SUM(DomaceNaloge[[#This Row],[1]:[10]])</f>
        <v>9</v>
      </c>
    </row>
    <row r="165" spans="2:14" x14ac:dyDescent="0.2">
      <c r="B165">
        <v>27000310</v>
      </c>
      <c r="C165" t="str">
        <f>_xlfn.XLOOKUP(DomaceNaloge[[#This Row],[Vpisna]],Rezultati[Vpisna],Rezultati[Program])</f>
        <v>PED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M165">
        <v>1</v>
      </c>
      <c r="N165">
        <f>SUM(DomaceNaloge[[#This Row],[1]:[10]])</f>
        <v>9</v>
      </c>
    </row>
    <row r="166" spans="2:14" x14ac:dyDescent="0.2">
      <c r="B166">
        <v>27000311</v>
      </c>
      <c r="C166" t="str">
        <f>_xlfn.XLOOKUP(DomaceNaloge[[#This Row],[Vpisna]],Rezultati[Vpisna],Rezultati[Program])</f>
        <v>PED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N166">
        <f>SUM(DomaceNaloge[[#This Row],[1]:[10]])</f>
        <v>6</v>
      </c>
    </row>
    <row r="167" spans="2:14" x14ac:dyDescent="0.2">
      <c r="B167">
        <v>27000312</v>
      </c>
      <c r="C167" t="str">
        <f>_xlfn.XLOOKUP(DomaceNaloge[[#This Row],[Vpisna]],Rezultati[Vpisna],Rezultati[Program])</f>
        <v>PED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N167">
        <f>SUM(DomaceNaloge[[#This Row],[1]:[10]])</f>
        <v>8</v>
      </c>
    </row>
    <row r="168" spans="2:14" x14ac:dyDescent="0.2">
      <c r="B168">
        <v>27000313</v>
      </c>
      <c r="C168" t="str">
        <f>_xlfn.XLOOKUP(DomaceNaloge[[#This Row],[Vpisna]],Rezultati[Vpisna],Rezultati[Program])</f>
        <v>PED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N168">
        <f>SUM(DomaceNaloge[[#This Row],[1]:[10]])</f>
        <v>7</v>
      </c>
    </row>
    <row r="169" spans="2:14" x14ac:dyDescent="0.2">
      <c r="B169">
        <v>27000316</v>
      </c>
      <c r="C169" t="str">
        <f>_xlfn.XLOOKUP(DomaceNaloge[[#This Row],[Vpisna]],Rezultati[Vpisna],Rezultati[Program])</f>
        <v>PED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1</v>
      </c>
      <c r="K169">
        <v>1</v>
      </c>
      <c r="N169">
        <f>SUM(DomaceNaloge[[#This Row],[1]:[10]])</f>
        <v>7</v>
      </c>
    </row>
    <row r="170" spans="2:14" x14ac:dyDescent="0.2">
      <c r="B170">
        <v>27000317</v>
      </c>
      <c r="C170" t="str">
        <f>_xlfn.XLOOKUP(DomaceNaloge[[#This Row],[Vpisna]],Rezultati[Vpisna],Rezultati[Program])</f>
        <v>PED</v>
      </c>
      <c r="D170">
        <v>1</v>
      </c>
      <c r="E170">
        <v>1</v>
      </c>
      <c r="F170">
        <v>0</v>
      </c>
      <c r="H170">
        <v>1</v>
      </c>
      <c r="I170">
        <v>1</v>
      </c>
      <c r="J170">
        <v>1</v>
      </c>
      <c r="K170">
        <v>1</v>
      </c>
      <c r="N170">
        <f>SUM(DomaceNaloge[[#This Row],[1]:[10]])</f>
        <v>6</v>
      </c>
    </row>
    <row r="171" spans="2:14" x14ac:dyDescent="0.2">
      <c r="B171">
        <v>27000318</v>
      </c>
      <c r="C171" t="str">
        <f>_xlfn.XLOOKUP(DomaceNaloge[[#This Row],[Vpisna]],Rezultati[Vpisna],Rezultati[Program])</f>
        <v>PED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N171">
        <f>SUM(DomaceNaloge[[#This Row],[1]:[10]])</f>
        <v>6</v>
      </c>
    </row>
    <row r="172" spans="2:14" x14ac:dyDescent="0.2">
      <c r="B172">
        <v>27000319</v>
      </c>
      <c r="C172" t="str">
        <f>_xlfn.XLOOKUP(DomaceNaloge[[#This Row],[Vpisna]],Rezultati[Vpisna],Rezultati[Program])</f>
        <v>PED</v>
      </c>
      <c r="D172">
        <v>1</v>
      </c>
      <c r="E172">
        <v>1</v>
      </c>
      <c r="F172">
        <v>1</v>
      </c>
      <c r="H172">
        <v>1</v>
      </c>
      <c r="I172">
        <v>1</v>
      </c>
      <c r="J172">
        <v>1</v>
      </c>
      <c r="K172">
        <v>1</v>
      </c>
      <c r="N172">
        <f>SUM(DomaceNaloge[[#This Row],[1]:[10]])</f>
        <v>7</v>
      </c>
    </row>
    <row r="173" spans="2:14" x14ac:dyDescent="0.2">
      <c r="B173">
        <v>27000320</v>
      </c>
      <c r="C173" t="str">
        <f>_xlfn.XLOOKUP(DomaceNaloge[[#This Row],[Vpisna]],Rezultati[Vpisna],Rezultati[Program])</f>
        <v>PED</v>
      </c>
      <c r="D173">
        <v>1</v>
      </c>
      <c r="E173">
        <v>1</v>
      </c>
      <c r="F173">
        <v>1</v>
      </c>
      <c r="H173">
        <v>1</v>
      </c>
      <c r="I173">
        <v>1</v>
      </c>
      <c r="J173">
        <v>1</v>
      </c>
      <c r="K173">
        <v>1</v>
      </c>
      <c r="N173">
        <f>SUM(DomaceNaloge[[#This Row],[1]:[10]])</f>
        <v>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0E58-1549-4E47-8BE4-FF547983FEF3}">
  <sheetPr>
    <pageSetUpPr fitToPage="1"/>
  </sheetPr>
  <dimension ref="B2:S136"/>
  <sheetViews>
    <sheetView zoomScale="150" zoomScaleNormal="150" workbookViewId="0">
      <selection activeCell="M30" sqref="M30 M38 M48"/>
      <pivotSelection pane="bottomRight" showHeader="1" activeRow="29" activeCol="12" click="1" r:id="rId3">
        <pivotArea dataOnly="0" labelOnly="1" fieldPosition="0">
          <references count="1">
            <reference field="3" count="0"/>
          </references>
        </pivotArea>
      </pivotSelection>
    </sheetView>
  </sheetViews>
  <sheetFormatPr baseColWidth="10" defaultColWidth="11.5" defaultRowHeight="15" x14ac:dyDescent="0.2"/>
  <cols>
    <col min="1" max="1" width="11.5" bestFit="1" customWidth="1"/>
    <col min="2" max="2" width="10.1640625" bestFit="1" customWidth="1"/>
    <col min="3" max="3" width="9.1640625" style="1" bestFit="1" customWidth="1"/>
    <col min="4" max="4" width="12" style="1" bestFit="1" customWidth="1"/>
    <col min="5" max="5" width="9.1640625" style="10" bestFit="1" customWidth="1"/>
    <col min="6" max="6" width="9.6640625" style="1" bestFit="1" customWidth="1"/>
    <col min="7" max="8" width="8.1640625" style="1" bestFit="1" customWidth="1"/>
    <col min="9" max="9" width="7.6640625" style="1" bestFit="1" customWidth="1"/>
    <col min="10" max="10" width="14" style="2" bestFit="1" customWidth="1"/>
    <col min="11" max="11" width="8.5" bestFit="1" customWidth="1"/>
    <col min="12" max="12" width="8.6640625" customWidth="1"/>
    <col min="13" max="13" width="13.33203125" bestFit="1" customWidth="1"/>
    <col min="14" max="14" width="4.1640625" bestFit="1" customWidth="1"/>
    <col min="15" max="15" width="5" bestFit="1" customWidth="1"/>
    <col min="16" max="16" width="3.6640625" bestFit="1" customWidth="1"/>
    <col min="17" max="17" width="4.83203125" bestFit="1" customWidth="1"/>
    <col min="18" max="18" width="4.1640625" bestFit="1" customWidth="1"/>
    <col min="19" max="19" width="10.1640625" bestFit="1" customWidth="1"/>
    <col min="20" max="20" width="13" bestFit="1" customWidth="1"/>
    <col min="21" max="21" width="14" bestFit="1" customWidth="1"/>
    <col min="22" max="22" width="13" bestFit="1" customWidth="1"/>
    <col min="23" max="23" width="14" bestFit="1" customWidth="1"/>
    <col min="24" max="24" width="17.33203125" bestFit="1" customWidth="1"/>
    <col min="25" max="25" width="18.6640625" bestFit="1" customWidth="1"/>
    <col min="26" max="26" width="16.5" bestFit="1" customWidth="1"/>
    <col min="27" max="27" width="4.6640625" bestFit="1" customWidth="1"/>
    <col min="28" max="28" width="9" bestFit="1" customWidth="1"/>
    <col min="29" max="29" width="6.6640625" bestFit="1" customWidth="1"/>
    <col min="30" max="31" width="4.6640625" bestFit="1" customWidth="1"/>
    <col min="32" max="32" width="8.33203125" bestFit="1" customWidth="1"/>
    <col min="33" max="33" width="10" bestFit="1" customWidth="1"/>
  </cols>
  <sheetData>
    <row r="2" spans="2:19" x14ac:dyDescent="0.2">
      <c r="B2" t="s">
        <v>29</v>
      </c>
      <c r="C2" t="s">
        <v>14</v>
      </c>
      <c r="D2" t="s">
        <v>41</v>
      </c>
      <c r="E2" s="13" t="s">
        <v>42</v>
      </c>
      <c r="F2" t="s">
        <v>43</v>
      </c>
      <c r="G2" t="s">
        <v>15</v>
      </c>
      <c r="H2" t="s">
        <v>16</v>
      </c>
      <c r="I2" t="s">
        <v>17</v>
      </c>
      <c r="J2" t="s">
        <v>18</v>
      </c>
      <c r="K2" t="s">
        <v>46</v>
      </c>
      <c r="M2" t="s">
        <v>49</v>
      </c>
    </row>
    <row r="3" spans="2:19" x14ac:dyDescent="0.2">
      <c r="B3" s="11">
        <v>27000007</v>
      </c>
      <c r="C3" t="str">
        <f>_xlfn.XLOOKUP(Izpit1[[#This Row],[Vpisna]],Rezultati[Vpisna],Rezultati[Program])</f>
        <v>MAT</v>
      </c>
      <c r="D3" t="s">
        <v>21</v>
      </c>
      <c r="E3" s="13">
        <v>0.5</v>
      </c>
      <c r="F3" s="3" t="s">
        <v>20</v>
      </c>
      <c r="G3">
        <v>0</v>
      </c>
      <c r="H3">
        <v>0</v>
      </c>
      <c r="I3">
        <v>0</v>
      </c>
      <c r="J3">
        <v>25</v>
      </c>
      <c r="K3" s="14">
        <f>SUM(Izpit1[[#This Row],[HTML]:[Mathematica]])</f>
        <v>25</v>
      </c>
      <c r="M3" s="4" t="s">
        <v>48</v>
      </c>
      <c r="N3" s="4" t="s">
        <v>25</v>
      </c>
    </row>
    <row r="4" spans="2:19" x14ac:dyDescent="0.2">
      <c r="B4" s="11">
        <v>27000015</v>
      </c>
      <c r="C4" t="str">
        <f>_xlfn.XLOOKUP(Izpit1[[#This Row],[Vpisna]],Rezultati[Vpisna],Rezultati[Program])</f>
        <v>APF</v>
      </c>
      <c r="D4" t="s">
        <v>21</v>
      </c>
      <c r="E4" s="13">
        <v>0.375</v>
      </c>
      <c r="F4" s="3" t="s">
        <v>20</v>
      </c>
      <c r="G4">
        <v>0</v>
      </c>
      <c r="H4">
        <v>0</v>
      </c>
      <c r="I4">
        <v>0</v>
      </c>
      <c r="J4">
        <v>0</v>
      </c>
      <c r="K4" s="14">
        <f>SUM(Izpit1[[#This Row],[HTML]:[Mathematica]])</f>
        <v>0</v>
      </c>
      <c r="M4" s="4" t="s">
        <v>25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26</v>
      </c>
    </row>
    <row r="5" spans="2:19" x14ac:dyDescent="0.2">
      <c r="B5" s="11">
        <v>27000020</v>
      </c>
      <c r="C5" t="str">
        <f>_xlfn.XLOOKUP(Izpit1[[#This Row],[Vpisna]],Rezultati[Vpisna],Rezultati[Program])</f>
        <v>APF</v>
      </c>
      <c r="D5" t="s">
        <v>21</v>
      </c>
      <c r="E5" s="13">
        <v>0.375</v>
      </c>
      <c r="F5" s="3" t="s">
        <v>20</v>
      </c>
      <c r="G5">
        <v>0</v>
      </c>
      <c r="H5">
        <v>0</v>
      </c>
      <c r="I5">
        <v>0</v>
      </c>
      <c r="J5">
        <v>0</v>
      </c>
      <c r="K5" s="14">
        <f>SUM(Izpit1[[#This Row],[HTML]:[Mathematica]])</f>
        <v>0</v>
      </c>
      <c r="M5" s="5" t="s">
        <v>24</v>
      </c>
      <c r="N5" s="11"/>
      <c r="O5" s="11">
        <v>1</v>
      </c>
      <c r="P5" s="11">
        <v>3</v>
      </c>
      <c r="Q5" s="11">
        <v>2</v>
      </c>
      <c r="R5" s="11"/>
      <c r="S5" s="11">
        <v>6</v>
      </c>
    </row>
    <row r="6" spans="2:19" x14ac:dyDescent="0.2">
      <c r="B6" s="11">
        <v>27000027</v>
      </c>
      <c r="C6" t="str">
        <f>_xlfn.XLOOKUP(Izpit1[[#This Row],[Vpisna]],Rezultati[Vpisna],Rezultati[Program])</f>
        <v>APF</v>
      </c>
      <c r="D6" t="s">
        <v>21</v>
      </c>
      <c r="E6" s="13">
        <v>0.375</v>
      </c>
      <c r="F6" s="3" t="s">
        <v>20</v>
      </c>
      <c r="G6">
        <v>18</v>
      </c>
      <c r="H6">
        <v>16</v>
      </c>
      <c r="I6">
        <v>12</v>
      </c>
      <c r="J6">
        <v>0</v>
      </c>
      <c r="K6" s="14">
        <f>SUM(Izpit1[[#This Row],[HTML]:[Mathematica]])</f>
        <v>46</v>
      </c>
      <c r="M6" s="6" t="s">
        <v>23</v>
      </c>
      <c r="N6" s="11"/>
      <c r="O6" s="11"/>
      <c r="P6" s="11">
        <v>2</v>
      </c>
      <c r="Q6" s="11">
        <v>1</v>
      </c>
      <c r="R6" s="11"/>
      <c r="S6" s="11">
        <v>3</v>
      </c>
    </row>
    <row r="7" spans="2:19" x14ac:dyDescent="0.2">
      <c r="B7" s="11">
        <v>27000029</v>
      </c>
      <c r="C7" t="str">
        <f>_xlfn.XLOOKUP(Izpit1[[#This Row],[Vpisna]],Rezultati[Vpisna],Rezultati[Program])</f>
        <v>MAT</v>
      </c>
      <c r="D7" t="s">
        <v>19</v>
      </c>
      <c r="E7" s="13">
        <v>0.5</v>
      </c>
      <c r="F7" s="3" t="s">
        <v>22</v>
      </c>
      <c r="G7">
        <v>0</v>
      </c>
      <c r="H7">
        <v>7</v>
      </c>
      <c r="I7">
        <v>0</v>
      </c>
      <c r="J7">
        <v>16</v>
      </c>
      <c r="K7" s="14">
        <f>SUM(Izpit1[[#This Row],[HTML]:[Mathematica]])</f>
        <v>23</v>
      </c>
      <c r="M7" s="6" t="s">
        <v>20</v>
      </c>
      <c r="N7" s="11"/>
      <c r="O7" s="11">
        <v>1</v>
      </c>
      <c r="P7" s="11"/>
      <c r="Q7" s="11">
        <v>1</v>
      </c>
      <c r="R7" s="11"/>
      <c r="S7" s="11">
        <v>2</v>
      </c>
    </row>
    <row r="8" spans="2:19" x14ac:dyDescent="0.2">
      <c r="B8" s="11">
        <v>27000031</v>
      </c>
      <c r="C8" t="str">
        <f>_xlfn.XLOOKUP(Izpit1[[#This Row],[Vpisna]],Rezultati[Vpisna],Rezultati[Program])</f>
        <v>APM</v>
      </c>
      <c r="D8" t="s">
        <v>21</v>
      </c>
      <c r="E8" s="13">
        <v>0.375</v>
      </c>
      <c r="F8" s="3" t="s">
        <v>20</v>
      </c>
      <c r="G8">
        <v>18.5</v>
      </c>
      <c r="H8">
        <v>25</v>
      </c>
      <c r="I8">
        <v>12</v>
      </c>
      <c r="J8">
        <v>31</v>
      </c>
      <c r="K8" s="14">
        <f>SUM(Izpit1[[#This Row],[HTML]:[Mathematica]])</f>
        <v>86.5</v>
      </c>
      <c r="M8" s="6" t="s">
        <v>22</v>
      </c>
      <c r="N8" s="11"/>
      <c r="O8" s="11"/>
      <c r="P8" s="11">
        <v>1</v>
      </c>
      <c r="Q8" s="11"/>
      <c r="R8" s="11"/>
      <c r="S8" s="11">
        <v>1</v>
      </c>
    </row>
    <row r="9" spans="2:19" x14ac:dyDescent="0.2">
      <c r="B9" s="11">
        <v>27000033</v>
      </c>
      <c r="C9" t="str">
        <f>_xlfn.XLOOKUP(Izpit1[[#This Row],[Vpisna]],Rezultati[Vpisna],Rezultati[Program])</f>
        <v>APM</v>
      </c>
      <c r="D9" t="s">
        <v>19</v>
      </c>
      <c r="E9" s="13">
        <v>0.375</v>
      </c>
      <c r="F9" s="3" t="s">
        <v>20</v>
      </c>
      <c r="G9">
        <v>20</v>
      </c>
      <c r="H9">
        <v>17</v>
      </c>
      <c r="I9">
        <v>0</v>
      </c>
      <c r="J9">
        <v>27</v>
      </c>
      <c r="K9" s="14">
        <f>SUM(Izpit1[[#This Row],[HTML]:[Mathematica]])</f>
        <v>64</v>
      </c>
      <c r="M9" s="8">
        <v>0.375</v>
      </c>
      <c r="N9" s="11">
        <v>4</v>
      </c>
      <c r="O9" s="11">
        <v>7</v>
      </c>
      <c r="P9" s="11">
        <v>55</v>
      </c>
      <c r="Q9" s="11"/>
      <c r="R9" s="11"/>
      <c r="S9" s="11">
        <v>66</v>
      </c>
    </row>
    <row r="10" spans="2:19" x14ac:dyDescent="0.2">
      <c r="B10" s="11">
        <v>27000044</v>
      </c>
      <c r="C10" t="str">
        <f>_xlfn.XLOOKUP(Izpit1[[#This Row],[Vpisna]],Rezultati[Vpisna],Rezultati[Program])</f>
        <v>APM</v>
      </c>
      <c r="D10" t="s">
        <v>21</v>
      </c>
      <c r="E10" s="13">
        <v>0.375</v>
      </c>
      <c r="F10" s="3" t="s">
        <v>20</v>
      </c>
      <c r="G10">
        <v>20</v>
      </c>
      <c r="H10">
        <v>33</v>
      </c>
      <c r="I10">
        <v>12</v>
      </c>
      <c r="J10">
        <v>30</v>
      </c>
      <c r="K10" s="14">
        <f>SUM(Izpit1[[#This Row],[HTML]:[Mathematica]])</f>
        <v>95</v>
      </c>
      <c r="M10" s="6" t="s">
        <v>23</v>
      </c>
      <c r="N10" s="11"/>
      <c r="O10" s="11">
        <v>1</v>
      </c>
      <c r="P10" s="11">
        <v>12</v>
      </c>
      <c r="Q10" s="11"/>
      <c r="R10" s="11"/>
      <c r="S10" s="11">
        <v>13</v>
      </c>
    </row>
    <row r="11" spans="2:19" x14ac:dyDescent="0.2">
      <c r="B11" s="11">
        <v>27000051</v>
      </c>
      <c r="C11" t="str">
        <f>_xlfn.XLOOKUP(Izpit1[[#This Row],[Vpisna]],Rezultati[Vpisna],Rezultati[Program])</f>
        <v>APM</v>
      </c>
      <c r="D11" t="s">
        <v>21</v>
      </c>
      <c r="E11" s="13">
        <v>0.375</v>
      </c>
      <c r="F11" s="3" t="s">
        <v>20</v>
      </c>
      <c r="G11">
        <v>19.5</v>
      </c>
      <c r="H11">
        <v>0</v>
      </c>
      <c r="I11">
        <v>12</v>
      </c>
      <c r="J11">
        <v>22</v>
      </c>
      <c r="K11" s="14">
        <f>SUM(Izpit1[[#This Row],[HTML]:[Mathematica]])</f>
        <v>53.5</v>
      </c>
      <c r="M11" s="6" t="s">
        <v>20</v>
      </c>
      <c r="N11" s="11">
        <v>4</v>
      </c>
      <c r="O11" s="11">
        <v>5</v>
      </c>
      <c r="P11" s="11">
        <v>16</v>
      </c>
      <c r="Q11" s="11"/>
      <c r="R11" s="11"/>
      <c r="S11" s="11">
        <v>25</v>
      </c>
    </row>
    <row r="12" spans="2:19" x14ac:dyDescent="0.2">
      <c r="B12" s="11">
        <v>27000063</v>
      </c>
      <c r="C12" t="str">
        <f>_xlfn.XLOOKUP(Izpit1[[#This Row],[Vpisna]],Rezultati[Vpisna],Rezultati[Program])</f>
        <v>APM</v>
      </c>
      <c r="D12" t="s">
        <v>19</v>
      </c>
      <c r="E12" s="13">
        <v>0.375</v>
      </c>
      <c r="F12" s="3" t="s">
        <v>22</v>
      </c>
      <c r="G12">
        <v>20</v>
      </c>
      <c r="H12">
        <v>36</v>
      </c>
      <c r="I12">
        <v>12</v>
      </c>
      <c r="J12">
        <v>31</v>
      </c>
      <c r="K12" s="14">
        <f>SUM(Izpit1[[#This Row],[HTML]:[Mathematica]])</f>
        <v>99</v>
      </c>
      <c r="M12" s="6" t="s">
        <v>22</v>
      </c>
      <c r="N12" s="11"/>
      <c r="O12" s="11">
        <v>1</v>
      </c>
      <c r="P12" s="11">
        <v>27</v>
      </c>
      <c r="Q12" s="11"/>
      <c r="R12" s="11"/>
      <c r="S12" s="11">
        <v>28</v>
      </c>
    </row>
    <row r="13" spans="2:19" x14ac:dyDescent="0.2">
      <c r="B13" s="11">
        <v>27000076</v>
      </c>
      <c r="C13" t="str">
        <f>_xlfn.XLOOKUP(Izpit1[[#This Row],[Vpisna]],Rezultati[Vpisna],Rezultati[Program])</f>
        <v>APM</v>
      </c>
      <c r="D13" t="s">
        <v>21</v>
      </c>
      <c r="E13" s="13">
        <v>0.375</v>
      </c>
      <c r="F13" s="3" t="s">
        <v>20</v>
      </c>
      <c r="G13">
        <v>19.5</v>
      </c>
      <c r="H13">
        <v>33</v>
      </c>
      <c r="I13">
        <v>12</v>
      </c>
      <c r="J13">
        <v>28</v>
      </c>
      <c r="K13" s="14">
        <f>SUM(Izpit1[[#This Row],[HTML]:[Mathematica]])</f>
        <v>92.5</v>
      </c>
      <c r="M13" s="8">
        <v>0.5</v>
      </c>
      <c r="N13" s="11"/>
      <c r="O13" s="11"/>
      <c r="P13" s="11"/>
      <c r="Q13" s="11">
        <v>52</v>
      </c>
      <c r="R13" s="11">
        <v>10</v>
      </c>
      <c r="S13" s="11">
        <v>62</v>
      </c>
    </row>
    <row r="14" spans="2:19" x14ac:dyDescent="0.2">
      <c r="B14" s="11">
        <v>27000078</v>
      </c>
      <c r="C14" t="str">
        <f>_xlfn.XLOOKUP(Izpit1[[#This Row],[Vpisna]],Rezultati[Vpisna],Rezultati[Program])</f>
        <v>APM</v>
      </c>
      <c r="D14" t="s">
        <v>21</v>
      </c>
      <c r="E14" s="13" t="s">
        <v>24</v>
      </c>
      <c r="F14" s="3" t="s">
        <v>20</v>
      </c>
      <c r="G14">
        <v>0</v>
      </c>
      <c r="H14">
        <v>0</v>
      </c>
      <c r="I14">
        <v>0</v>
      </c>
      <c r="J14">
        <v>0</v>
      </c>
      <c r="K14" s="14">
        <f>SUM(Izpit1[[#This Row],[HTML]:[Mathematica]])</f>
        <v>0</v>
      </c>
      <c r="M14" s="6" t="s">
        <v>23</v>
      </c>
      <c r="N14" s="11"/>
      <c r="O14" s="11"/>
      <c r="P14" s="11"/>
      <c r="Q14" s="11">
        <v>9</v>
      </c>
      <c r="R14" s="11">
        <v>4</v>
      </c>
      <c r="S14" s="11">
        <v>13</v>
      </c>
    </row>
    <row r="15" spans="2:19" x14ac:dyDescent="0.2">
      <c r="B15" s="11">
        <v>27000082</v>
      </c>
      <c r="C15" t="str">
        <f>_xlfn.XLOOKUP(Izpit1[[#This Row],[Vpisna]],Rezultati[Vpisna],Rezultati[Program])</f>
        <v>APM</v>
      </c>
      <c r="D15" t="s">
        <v>21</v>
      </c>
      <c r="E15" s="13">
        <v>0.375</v>
      </c>
      <c r="F15" s="3" t="s">
        <v>23</v>
      </c>
      <c r="G15">
        <v>0</v>
      </c>
      <c r="H15">
        <v>0</v>
      </c>
      <c r="I15">
        <v>0</v>
      </c>
      <c r="J15">
        <v>25</v>
      </c>
      <c r="K15" s="14">
        <f>SUM(Izpit1[[#This Row],[HTML]:[Mathematica]])</f>
        <v>25</v>
      </c>
      <c r="M15" s="6" t="s">
        <v>27</v>
      </c>
      <c r="N15" s="11"/>
      <c r="O15" s="11"/>
      <c r="P15" s="11"/>
      <c r="Q15" s="11">
        <v>1</v>
      </c>
      <c r="R15" s="11"/>
      <c r="S15" s="11">
        <v>1</v>
      </c>
    </row>
    <row r="16" spans="2:19" x14ac:dyDescent="0.2">
      <c r="B16" s="11">
        <v>27000088</v>
      </c>
      <c r="C16" t="str">
        <f>_xlfn.XLOOKUP(Izpit1[[#This Row],[Vpisna]],Rezultati[Vpisna],Rezultati[Program])</f>
        <v>FIN</v>
      </c>
      <c r="D16" t="s">
        <v>19</v>
      </c>
      <c r="E16" s="13">
        <v>0.375</v>
      </c>
      <c r="F16" s="3" t="s">
        <v>20</v>
      </c>
      <c r="G16">
        <v>13.5</v>
      </c>
      <c r="H16">
        <v>27</v>
      </c>
      <c r="I16">
        <v>12</v>
      </c>
      <c r="J16">
        <v>25</v>
      </c>
      <c r="K16" s="14">
        <f>SUM(Izpit1[[#This Row],[HTML]:[Mathematica]])</f>
        <v>77.5</v>
      </c>
      <c r="M16" s="6" t="s">
        <v>20</v>
      </c>
      <c r="N16" s="11"/>
      <c r="O16" s="11"/>
      <c r="P16" s="11"/>
      <c r="Q16" s="11">
        <v>16</v>
      </c>
      <c r="R16" s="11">
        <v>4</v>
      </c>
      <c r="S16" s="11">
        <v>20</v>
      </c>
    </row>
    <row r="17" spans="2:19" x14ac:dyDescent="0.2">
      <c r="B17" s="11">
        <v>27000092</v>
      </c>
      <c r="C17" t="str">
        <f>_xlfn.XLOOKUP(Izpit1[[#This Row],[Vpisna]],Rezultati[Vpisna],Rezultati[Program])</f>
        <v>FIN</v>
      </c>
      <c r="D17" t="s">
        <v>19</v>
      </c>
      <c r="E17" s="13">
        <v>0.375</v>
      </c>
      <c r="F17" s="3" t="s">
        <v>22</v>
      </c>
      <c r="G17">
        <v>17.5</v>
      </c>
      <c r="H17">
        <v>19</v>
      </c>
      <c r="I17">
        <v>12</v>
      </c>
      <c r="J17">
        <v>28</v>
      </c>
      <c r="K17" s="14">
        <f>SUM(Izpit1[[#This Row],[HTML]:[Mathematica]])</f>
        <v>76.5</v>
      </c>
      <c r="M17" s="6" t="s">
        <v>22</v>
      </c>
      <c r="N17" s="11"/>
      <c r="O17" s="11"/>
      <c r="P17" s="11"/>
      <c r="Q17" s="11">
        <v>26</v>
      </c>
      <c r="R17" s="11">
        <v>2</v>
      </c>
      <c r="S17" s="11">
        <v>28</v>
      </c>
    </row>
    <row r="18" spans="2:19" x14ac:dyDescent="0.2">
      <c r="B18" s="11">
        <v>27000093</v>
      </c>
      <c r="C18" t="str">
        <f>_xlfn.XLOOKUP(Izpit1[[#This Row],[Vpisna]],Rezultati[Vpisna],Rezultati[Program])</f>
        <v>FIN</v>
      </c>
      <c r="D18" t="s">
        <v>19</v>
      </c>
      <c r="E18" s="13">
        <v>0.375</v>
      </c>
      <c r="F18" s="3" t="s">
        <v>20</v>
      </c>
      <c r="G18">
        <v>16</v>
      </c>
      <c r="H18">
        <v>10</v>
      </c>
      <c r="I18">
        <v>0</v>
      </c>
      <c r="J18">
        <v>26.5</v>
      </c>
      <c r="K18" s="14">
        <f>SUM(Izpit1[[#This Row],[HTML]:[Mathematica]])</f>
        <v>52.5</v>
      </c>
      <c r="M18" s="5" t="s">
        <v>26</v>
      </c>
      <c r="N18" s="11">
        <v>4</v>
      </c>
      <c r="O18" s="11">
        <v>8</v>
      </c>
      <c r="P18" s="11">
        <v>58</v>
      </c>
      <c r="Q18" s="11">
        <v>54</v>
      </c>
      <c r="R18" s="11">
        <v>10</v>
      </c>
      <c r="S18" s="11">
        <v>134</v>
      </c>
    </row>
    <row r="19" spans="2:19" x14ac:dyDescent="0.2">
      <c r="B19" s="11">
        <v>27000096</v>
      </c>
      <c r="C19" t="str">
        <f>_xlfn.XLOOKUP(Izpit1[[#This Row],[Vpisna]],Rezultati[Vpisna],Rezultati[Program])</f>
        <v>FIN</v>
      </c>
      <c r="D19" t="s">
        <v>21</v>
      </c>
      <c r="E19" s="13">
        <v>0.375</v>
      </c>
      <c r="F19" s="3" t="s">
        <v>23</v>
      </c>
      <c r="G19">
        <v>18.5</v>
      </c>
      <c r="H19">
        <v>34</v>
      </c>
      <c r="I19">
        <v>12</v>
      </c>
      <c r="J19">
        <v>27</v>
      </c>
      <c r="K19" s="14">
        <f>SUM(Izpit1[[#This Row],[HTML]:[Mathematica]])</f>
        <v>91.5</v>
      </c>
    </row>
    <row r="20" spans="2:19" x14ac:dyDescent="0.2">
      <c r="B20" s="11">
        <v>27000100</v>
      </c>
      <c r="C20" t="str">
        <f>_xlfn.XLOOKUP(Izpit1[[#This Row],[Vpisna]],Rezultati[Vpisna],Rezultati[Program])</f>
        <v>FIN</v>
      </c>
      <c r="D20" t="s">
        <v>19</v>
      </c>
      <c r="E20" s="13">
        <v>0.375</v>
      </c>
      <c r="F20" s="3" t="s">
        <v>22</v>
      </c>
      <c r="G20">
        <v>15</v>
      </c>
      <c r="H20">
        <v>31</v>
      </c>
      <c r="I20">
        <v>9</v>
      </c>
      <c r="J20">
        <v>27</v>
      </c>
      <c r="K20" s="14">
        <f>SUM(Izpit1[[#This Row],[HTML]:[Mathematica]])</f>
        <v>82</v>
      </c>
      <c r="M20" s="6" t="s">
        <v>50</v>
      </c>
    </row>
    <row r="21" spans="2:19" x14ac:dyDescent="0.2">
      <c r="B21" s="11">
        <v>27000101</v>
      </c>
      <c r="C21" t="str">
        <f>_xlfn.XLOOKUP(Izpit1[[#This Row],[Vpisna]],Rezultati[Vpisna],Rezultati[Program])</f>
        <v>FIN</v>
      </c>
      <c r="D21" t="s">
        <v>21</v>
      </c>
      <c r="E21" s="13">
        <v>0.375</v>
      </c>
      <c r="F21" s="3" t="s">
        <v>20</v>
      </c>
      <c r="G21">
        <v>14.5</v>
      </c>
      <c r="H21">
        <v>22</v>
      </c>
      <c r="I21">
        <v>12</v>
      </c>
      <c r="J21">
        <v>27.5</v>
      </c>
      <c r="K21" s="14">
        <f>SUM(Izpit1[[#This Row],[HTML]:[Mathematica]])</f>
        <v>76</v>
      </c>
      <c r="M21" s="4" t="s">
        <v>48</v>
      </c>
      <c r="N21" s="4" t="s">
        <v>25</v>
      </c>
    </row>
    <row r="22" spans="2:19" x14ac:dyDescent="0.2">
      <c r="B22" s="11">
        <v>27000103</v>
      </c>
      <c r="C22" t="str">
        <f>_xlfn.XLOOKUP(Izpit1[[#This Row],[Vpisna]],Rezultati[Vpisna],Rezultati[Program])</f>
        <v>FIN</v>
      </c>
      <c r="D22" t="s">
        <v>19</v>
      </c>
      <c r="E22" s="13">
        <v>0.375</v>
      </c>
      <c r="F22" s="3" t="s">
        <v>22</v>
      </c>
      <c r="G22">
        <v>14</v>
      </c>
      <c r="H22">
        <v>13</v>
      </c>
      <c r="I22">
        <v>9</v>
      </c>
      <c r="J22">
        <v>15</v>
      </c>
      <c r="K22" s="14">
        <f>SUM(Izpit1[[#This Row],[HTML]:[Mathematica]])</f>
        <v>51</v>
      </c>
      <c r="M22" s="4" t="s">
        <v>25</v>
      </c>
      <c r="N22" t="s">
        <v>9</v>
      </c>
      <c r="O22" t="s">
        <v>10</v>
      </c>
      <c r="P22" t="s">
        <v>11</v>
      </c>
      <c r="Q22" t="s">
        <v>12</v>
      </c>
      <c r="R22" t="s">
        <v>13</v>
      </c>
      <c r="S22" t="s">
        <v>26</v>
      </c>
    </row>
    <row r="23" spans="2:19" x14ac:dyDescent="0.2">
      <c r="B23" s="11">
        <v>27000104</v>
      </c>
      <c r="C23" t="str">
        <f>_xlfn.XLOOKUP(Izpit1[[#This Row],[Vpisna]],Rezultati[Vpisna],Rezultati[Program])</f>
        <v>FIN</v>
      </c>
      <c r="D23" t="s">
        <v>19</v>
      </c>
      <c r="E23" s="13">
        <v>0.375</v>
      </c>
      <c r="F23" s="3" t="s">
        <v>22</v>
      </c>
      <c r="G23">
        <v>17</v>
      </c>
      <c r="H23">
        <v>29</v>
      </c>
      <c r="I23">
        <v>12</v>
      </c>
      <c r="J23">
        <v>24</v>
      </c>
      <c r="K23" s="14">
        <f>SUM(Izpit1[[#This Row],[HTML]:[Mathematica]])</f>
        <v>82</v>
      </c>
      <c r="M23" s="5" t="s">
        <v>21</v>
      </c>
      <c r="N23" s="11">
        <v>4</v>
      </c>
      <c r="O23" s="11">
        <v>6</v>
      </c>
      <c r="P23" s="11">
        <v>24</v>
      </c>
      <c r="Q23" s="11">
        <v>24</v>
      </c>
      <c r="R23" s="11">
        <v>8</v>
      </c>
      <c r="S23" s="11">
        <v>66</v>
      </c>
    </row>
    <row r="24" spans="2:19" x14ac:dyDescent="0.2">
      <c r="B24" s="11">
        <v>27000105</v>
      </c>
      <c r="C24" t="str">
        <f>_xlfn.XLOOKUP(Izpit1[[#This Row],[Vpisna]],Rezultati[Vpisna],Rezultati[Program])</f>
        <v>FIN</v>
      </c>
      <c r="D24" t="s">
        <v>21</v>
      </c>
      <c r="E24" s="13">
        <v>0.375</v>
      </c>
      <c r="F24" s="3" t="s">
        <v>20</v>
      </c>
      <c r="G24">
        <v>9</v>
      </c>
      <c r="H24">
        <v>18</v>
      </c>
      <c r="I24">
        <v>8</v>
      </c>
      <c r="J24">
        <v>21</v>
      </c>
      <c r="K24" s="14">
        <f>SUM(Izpit1[[#This Row],[HTML]:[Mathematica]])</f>
        <v>56</v>
      </c>
      <c r="M24" s="5" t="s">
        <v>19</v>
      </c>
      <c r="N24" s="11"/>
      <c r="O24" s="11">
        <v>2</v>
      </c>
      <c r="P24" s="11">
        <v>34</v>
      </c>
      <c r="Q24" s="11">
        <v>30</v>
      </c>
      <c r="R24" s="11">
        <v>2</v>
      </c>
      <c r="S24" s="11">
        <v>68</v>
      </c>
    </row>
    <row r="25" spans="2:19" x14ac:dyDescent="0.2">
      <c r="B25" s="11">
        <v>27000111</v>
      </c>
      <c r="C25" t="str">
        <f>_xlfn.XLOOKUP(Izpit1[[#This Row],[Vpisna]],Rezultati[Vpisna],Rezultati[Program])</f>
        <v>FIN</v>
      </c>
      <c r="D25" t="s">
        <v>19</v>
      </c>
      <c r="E25" s="13">
        <v>0.375</v>
      </c>
      <c r="F25" s="3" t="s">
        <v>22</v>
      </c>
      <c r="G25">
        <v>18</v>
      </c>
      <c r="H25">
        <v>36</v>
      </c>
      <c r="I25">
        <v>12</v>
      </c>
      <c r="J25">
        <v>29</v>
      </c>
      <c r="K25" s="14">
        <f>SUM(Izpit1[[#This Row],[HTML]:[Mathematica]])</f>
        <v>95</v>
      </c>
      <c r="M25" s="5" t="s">
        <v>26</v>
      </c>
      <c r="N25" s="11">
        <v>4</v>
      </c>
      <c r="O25" s="11">
        <v>8</v>
      </c>
      <c r="P25" s="11">
        <v>58</v>
      </c>
      <c r="Q25" s="11">
        <v>54</v>
      </c>
      <c r="R25" s="11">
        <v>10</v>
      </c>
      <c r="S25" s="11">
        <v>134</v>
      </c>
    </row>
    <row r="26" spans="2:19" x14ac:dyDescent="0.2">
      <c r="B26" s="11">
        <v>27000113</v>
      </c>
      <c r="C26" t="str">
        <f>_xlfn.XLOOKUP(Izpit1[[#This Row],[Vpisna]],Rezultati[Vpisna],Rezultati[Program])</f>
        <v>FIN</v>
      </c>
      <c r="D26" t="s">
        <v>19</v>
      </c>
      <c r="E26" s="13">
        <v>0.375</v>
      </c>
      <c r="F26" s="3" t="s">
        <v>22</v>
      </c>
      <c r="G26">
        <v>18</v>
      </c>
      <c r="H26">
        <v>12</v>
      </c>
      <c r="I26">
        <v>7</v>
      </c>
      <c r="J26">
        <v>23</v>
      </c>
      <c r="K26" s="14">
        <f>SUM(Izpit1[[#This Row],[HTML]:[Mathematica]])</f>
        <v>60</v>
      </c>
    </row>
    <row r="27" spans="2:19" x14ac:dyDescent="0.2">
      <c r="B27" s="11">
        <v>27000115</v>
      </c>
      <c r="C27" t="str">
        <f>_xlfn.XLOOKUP(Izpit1[[#This Row],[Vpisna]],Rezultati[Vpisna],Rezultati[Program])</f>
        <v>FIN</v>
      </c>
      <c r="D27" t="s">
        <v>19</v>
      </c>
      <c r="E27" s="13">
        <v>0.375</v>
      </c>
      <c r="F27" s="3" t="s">
        <v>22</v>
      </c>
      <c r="G27">
        <v>19</v>
      </c>
      <c r="H27">
        <v>24</v>
      </c>
      <c r="I27">
        <v>12</v>
      </c>
      <c r="J27">
        <v>29</v>
      </c>
      <c r="K27" s="14">
        <f>SUM(Izpit1[[#This Row],[HTML]:[Mathematica]])</f>
        <v>84</v>
      </c>
      <c r="M27" s="5" t="s">
        <v>51</v>
      </c>
    </row>
    <row r="28" spans="2:19" x14ac:dyDescent="0.2">
      <c r="B28" s="11">
        <v>27000118</v>
      </c>
      <c r="C28" t="str">
        <f>_xlfn.XLOOKUP(Izpit1[[#This Row],[Vpisna]],Rezultati[Vpisna],Rezultati[Program])</f>
        <v>FIN</v>
      </c>
      <c r="D28" t="s">
        <v>19</v>
      </c>
      <c r="E28" s="13">
        <v>0.375</v>
      </c>
      <c r="F28" s="3" t="s">
        <v>22</v>
      </c>
      <c r="G28">
        <v>19</v>
      </c>
      <c r="H28">
        <v>33</v>
      </c>
      <c r="I28">
        <v>8</v>
      </c>
      <c r="J28">
        <v>23</v>
      </c>
      <c r="K28" s="14">
        <f>SUM(Izpit1[[#This Row],[HTML]:[Mathematica]])</f>
        <v>83</v>
      </c>
      <c r="M28" s="4" t="s">
        <v>48</v>
      </c>
      <c r="N28" s="4" t="s">
        <v>25</v>
      </c>
    </row>
    <row r="29" spans="2:19" x14ac:dyDescent="0.2">
      <c r="B29" s="11">
        <v>27000120</v>
      </c>
      <c r="C29" t="str">
        <f>_xlfn.XLOOKUP(Izpit1[[#This Row],[Vpisna]],Rezultati[Vpisna],Rezultati[Program])</f>
        <v>FIN</v>
      </c>
      <c r="D29" t="s">
        <v>19</v>
      </c>
      <c r="E29" s="13">
        <v>0.375</v>
      </c>
      <c r="F29" s="3" t="s">
        <v>22</v>
      </c>
      <c r="G29">
        <v>19.5</v>
      </c>
      <c r="H29">
        <v>34</v>
      </c>
      <c r="I29">
        <v>12</v>
      </c>
      <c r="J29">
        <v>29</v>
      </c>
      <c r="K29" s="14">
        <f>SUM(Izpit1[[#This Row],[HTML]:[Mathematica]])</f>
        <v>94.5</v>
      </c>
      <c r="M29" s="4" t="s">
        <v>25</v>
      </c>
      <c r="N29" t="s">
        <v>9</v>
      </c>
      <c r="O29" t="s">
        <v>10</v>
      </c>
      <c r="P29" t="s">
        <v>11</v>
      </c>
      <c r="Q29" t="s">
        <v>12</v>
      </c>
      <c r="R29" t="s">
        <v>13</v>
      </c>
      <c r="S29" t="s">
        <v>26</v>
      </c>
    </row>
    <row r="30" spans="2:19" x14ac:dyDescent="0.2">
      <c r="B30" s="11">
        <v>27000124</v>
      </c>
      <c r="C30" t="str">
        <f>_xlfn.XLOOKUP(Izpit1[[#This Row],[Vpisna]],Rezultati[Vpisna],Rezultati[Program])</f>
        <v>FIN</v>
      </c>
      <c r="D30" t="s">
        <v>19</v>
      </c>
      <c r="E30" s="13">
        <v>0.375</v>
      </c>
      <c r="F30" s="3" t="s">
        <v>20</v>
      </c>
      <c r="G30">
        <v>17.5</v>
      </c>
      <c r="H30">
        <v>34</v>
      </c>
      <c r="I30">
        <v>12</v>
      </c>
      <c r="J30">
        <v>28</v>
      </c>
      <c r="K30" s="14">
        <f>SUM(Izpit1[[#This Row],[HTML]:[Mathematica]])</f>
        <v>91.5</v>
      </c>
      <c r="M30" s="8">
        <v>0.375</v>
      </c>
      <c r="N30" s="11">
        <v>4</v>
      </c>
      <c r="O30" s="11">
        <v>7</v>
      </c>
      <c r="P30" s="11">
        <v>55</v>
      </c>
      <c r="Q30" s="11"/>
      <c r="R30" s="11"/>
      <c r="S30" s="11">
        <v>66</v>
      </c>
    </row>
    <row r="31" spans="2:19" x14ac:dyDescent="0.2">
      <c r="B31" s="11">
        <v>27000125</v>
      </c>
      <c r="C31" t="str">
        <f>_xlfn.XLOOKUP(Izpit1[[#This Row],[Vpisna]],Rezultati[Vpisna],Rezultati[Program])</f>
        <v>FIN</v>
      </c>
      <c r="D31" t="s">
        <v>21</v>
      </c>
      <c r="E31" s="13">
        <v>0.375</v>
      </c>
      <c r="F31" s="3" t="s">
        <v>20</v>
      </c>
      <c r="G31">
        <v>18</v>
      </c>
      <c r="H31">
        <v>24</v>
      </c>
      <c r="I31">
        <v>12</v>
      </c>
      <c r="J31">
        <v>17.5</v>
      </c>
      <c r="K31" s="14">
        <f>SUM(Izpit1[[#This Row],[HTML]:[Mathematica]])</f>
        <v>71.5</v>
      </c>
      <c r="M31" s="6" t="s">
        <v>23</v>
      </c>
      <c r="N31" s="11"/>
      <c r="O31" s="11">
        <v>1</v>
      </c>
      <c r="P31" s="11">
        <v>12</v>
      </c>
      <c r="Q31" s="11"/>
      <c r="R31" s="11"/>
      <c r="S31" s="11">
        <v>13</v>
      </c>
    </row>
    <row r="32" spans="2:19" x14ac:dyDescent="0.2">
      <c r="B32" s="11">
        <v>27000126</v>
      </c>
      <c r="C32" t="str">
        <f>_xlfn.XLOOKUP(Izpit1[[#This Row],[Vpisna]],Rezultati[Vpisna],Rezultati[Program])</f>
        <v>FIN</v>
      </c>
      <c r="D32" t="s">
        <v>19</v>
      </c>
      <c r="E32" s="13">
        <v>0.375</v>
      </c>
      <c r="F32" s="3" t="s">
        <v>22</v>
      </c>
      <c r="G32">
        <v>19.5</v>
      </c>
      <c r="H32">
        <v>33</v>
      </c>
      <c r="I32">
        <v>12</v>
      </c>
      <c r="J32">
        <v>26</v>
      </c>
      <c r="K32" s="14">
        <f>SUM(Izpit1[[#This Row],[HTML]:[Mathematica]])</f>
        <v>90.5</v>
      </c>
      <c r="M32" s="7" t="s">
        <v>21</v>
      </c>
      <c r="N32" s="11"/>
      <c r="O32" s="11">
        <v>1</v>
      </c>
      <c r="P32" s="11">
        <v>12</v>
      </c>
      <c r="Q32" s="11"/>
      <c r="R32" s="11"/>
      <c r="S32" s="11">
        <v>13</v>
      </c>
    </row>
    <row r="33" spans="2:19" x14ac:dyDescent="0.2">
      <c r="B33" s="11">
        <v>27000127</v>
      </c>
      <c r="C33" t="str">
        <f>_xlfn.XLOOKUP(Izpit1[[#This Row],[Vpisna]],Rezultati[Vpisna],Rezultati[Program])</f>
        <v>FIN</v>
      </c>
      <c r="D33" t="s">
        <v>21</v>
      </c>
      <c r="E33" s="13">
        <v>0.375</v>
      </c>
      <c r="F33" s="3" t="s">
        <v>20</v>
      </c>
      <c r="G33">
        <v>19</v>
      </c>
      <c r="H33">
        <v>34</v>
      </c>
      <c r="I33">
        <v>12</v>
      </c>
      <c r="J33">
        <v>26.5</v>
      </c>
      <c r="K33" s="14">
        <f>SUM(Izpit1[[#This Row],[HTML]:[Mathematica]])</f>
        <v>91.5</v>
      </c>
      <c r="M33" s="6" t="s">
        <v>20</v>
      </c>
      <c r="N33" s="11">
        <v>4</v>
      </c>
      <c r="O33" s="11">
        <v>5</v>
      </c>
      <c r="P33" s="11">
        <v>16</v>
      </c>
      <c r="Q33" s="11"/>
      <c r="R33" s="11"/>
      <c r="S33" s="11">
        <v>25</v>
      </c>
    </row>
    <row r="34" spans="2:19" x14ac:dyDescent="0.2">
      <c r="B34" s="11">
        <v>27000128</v>
      </c>
      <c r="C34" t="str">
        <f>_xlfn.XLOOKUP(Izpit1[[#This Row],[Vpisna]],Rezultati[Vpisna],Rezultati[Program])</f>
        <v>FIN</v>
      </c>
      <c r="D34" t="s">
        <v>21</v>
      </c>
      <c r="E34" s="13">
        <v>0.375</v>
      </c>
      <c r="F34" s="3" t="s">
        <v>23</v>
      </c>
      <c r="G34">
        <v>16.5</v>
      </c>
      <c r="H34">
        <v>33</v>
      </c>
      <c r="I34">
        <v>12</v>
      </c>
      <c r="J34">
        <v>28.5</v>
      </c>
      <c r="K34" s="14">
        <f>SUM(Izpit1[[#This Row],[HTML]:[Mathematica]])</f>
        <v>90</v>
      </c>
      <c r="M34" s="7" t="s">
        <v>21</v>
      </c>
      <c r="N34" s="11">
        <v>4</v>
      </c>
      <c r="O34" s="11">
        <v>4</v>
      </c>
      <c r="P34" s="11">
        <v>10</v>
      </c>
      <c r="Q34" s="11"/>
      <c r="R34" s="11"/>
      <c r="S34" s="11">
        <v>18</v>
      </c>
    </row>
    <row r="35" spans="2:19" x14ac:dyDescent="0.2">
      <c r="B35" s="11">
        <v>27000132</v>
      </c>
      <c r="C35" t="str">
        <f>_xlfn.XLOOKUP(Izpit1[[#This Row],[Vpisna]],Rezultati[Vpisna],Rezultati[Program])</f>
        <v>FIN</v>
      </c>
      <c r="D35" t="s">
        <v>19</v>
      </c>
      <c r="E35" s="13">
        <v>0.375</v>
      </c>
      <c r="F35" s="3" t="s">
        <v>22</v>
      </c>
      <c r="G35">
        <v>18.5</v>
      </c>
      <c r="H35">
        <v>36</v>
      </c>
      <c r="I35">
        <v>12</v>
      </c>
      <c r="J35">
        <v>32</v>
      </c>
      <c r="K35" s="14">
        <f>SUM(Izpit1[[#This Row],[HTML]:[Mathematica]])</f>
        <v>98.5</v>
      </c>
      <c r="M35" s="7" t="s">
        <v>19</v>
      </c>
      <c r="N35" s="11"/>
      <c r="O35" s="11">
        <v>1</v>
      </c>
      <c r="P35" s="11">
        <v>6</v>
      </c>
      <c r="Q35" s="11"/>
      <c r="R35" s="11"/>
      <c r="S35" s="11">
        <v>7</v>
      </c>
    </row>
    <row r="36" spans="2:19" x14ac:dyDescent="0.2">
      <c r="B36" s="11">
        <v>27000134</v>
      </c>
      <c r="C36" t="str">
        <f>_xlfn.XLOOKUP(Izpit1[[#This Row],[Vpisna]],Rezultati[Vpisna],Rezultati[Program])</f>
        <v>FIN</v>
      </c>
      <c r="D36" t="s">
        <v>21</v>
      </c>
      <c r="E36" s="13">
        <v>0.375</v>
      </c>
      <c r="F36" s="3" t="s">
        <v>20</v>
      </c>
      <c r="G36">
        <v>14.5</v>
      </c>
      <c r="H36">
        <v>25</v>
      </c>
      <c r="I36">
        <v>12</v>
      </c>
      <c r="J36">
        <v>28.5</v>
      </c>
      <c r="K36" s="14">
        <f>SUM(Izpit1[[#This Row],[HTML]:[Mathematica]])</f>
        <v>80</v>
      </c>
      <c r="M36" s="6" t="s">
        <v>22</v>
      </c>
      <c r="N36" s="11"/>
      <c r="O36" s="11">
        <v>1</v>
      </c>
      <c r="P36" s="11">
        <v>27</v>
      </c>
      <c r="Q36" s="11"/>
      <c r="R36" s="11"/>
      <c r="S36" s="11">
        <v>28</v>
      </c>
    </row>
    <row r="37" spans="2:19" x14ac:dyDescent="0.2">
      <c r="B37" s="11">
        <v>27000136</v>
      </c>
      <c r="C37" t="str">
        <f>_xlfn.XLOOKUP(Izpit1[[#This Row],[Vpisna]],Rezultati[Vpisna],Rezultati[Program])</f>
        <v>FIN</v>
      </c>
      <c r="D37" t="s">
        <v>19</v>
      </c>
      <c r="E37" s="13">
        <v>0.375</v>
      </c>
      <c r="F37" s="3" t="s">
        <v>22</v>
      </c>
      <c r="G37">
        <v>15</v>
      </c>
      <c r="H37">
        <v>27</v>
      </c>
      <c r="I37">
        <v>0</v>
      </c>
      <c r="J37">
        <v>30</v>
      </c>
      <c r="K37" s="14">
        <f>SUM(Izpit1[[#This Row],[HTML]:[Mathematica]])</f>
        <v>72</v>
      </c>
      <c r="M37" s="7" t="s">
        <v>19</v>
      </c>
      <c r="N37" s="11"/>
      <c r="O37" s="11">
        <v>1</v>
      </c>
      <c r="P37" s="11">
        <v>27</v>
      </c>
      <c r="Q37" s="11"/>
      <c r="R37" s="11"/>
      <c r="S37" s="11">
        <v>28</v>
      </c>
    </row>
    <row r="38" spans="2:19" x14ac:dyDescent="0.2">
      <c r="B38" s="11">
        <v>27000141</v>
      </c>
      <c r="C38" t="str">
        <f>_xlfn.XLOOKUP(Izpit1[[#This Row],[Vpisna]],Rezultati[Vpisna],Rezultati[Program])</f>
        <v>FIN</v>
      </c>
      <c r="D38" t="s">
        <v>19</v>
      </c>
      <c r="E38" s="13">
        <v>0.375</v>
      </c>
      <c r="F38" s="3" t="s">
        <v>22</v>
      </c>
      <c r="G38">
        <v>16.5</v>
      </c>
      <c r="H38">
        <v>31</v>
      </c>
      <c r="I38">
        <v>12</v>
      </c>
      <c r="J38">
        <v>27</v>
      </c>
      <c r="K38" s="14">
        <f>SUM(Izpit1[[#This Row],[HTML]:[Mathematica]])</f>
        <v>86.5</v>
      </c>
      <c r="M38" s="8">
        <v>0.5</v>
      </c>
      <c r="N38" s="11"/>
      <c r="O38" s="11"/>
      <c r="P38" s="11"/>
      <c r="Q38" s="11">
        <v>52</v>
      </c>
      <c r="R38" s="11">
        <v>10</v>
      </c>
      <c r="S38" s="11">
        <v>62</v>
      </c>
    </row>
    <row r="39" spans="2:19" x14ac:dyDescent="0.2">
      <c r="B39" s="11">
        <v>27000144</v>
      </c>
      <c r="C39" t="str">
        <f>_xlfn.XLOOKUP(Izpit1[[#This Row],[Vpisna]],Rezultati[Vpisna],Rezultati[Program])</f>
        <v>FIN</v>
      </c>
      <c r="D39" t="s">
        <v>19</v>
      </c>
      <c r="E39" s="13">
        <v>0.375</v>
      </c>
      <c r="F39" s="3" t="s">
        <v>22</v>
      </c>
      <c r="G39">
        <v>17.5</v>
      </c>
      <c r="H39">
        <v>30</v>
      </c>
      <c r="I39">
        <v>9</v>
      </c>
      <c r="J39">
        <v>20</v>
      </c>
      <c r="K39" s="14">
        <f>SUM(Izpit1[[#This Row],[HTML]:[Mathematica]])</f>
        <v>76.5</v>
      </c>
      <c r="M39" s="6" t="s">
        <v>23</v>
      </c>
      <c r="N39" s="11"/>
      <c r="O39" s="11"/>
      <c r="P39" s="11"/>
      <c r="Q39" s="11">
        <v>9</v>
      </c>
      <c r="R39" s="11">
        <v>4</v>
      </c>
      <c r="S39" s="11">
        <v>13</v>
      </c>
    </row>
    <row r="40" spans="2:19" x14ac:dyDescent="0.2">
      <c r="B40" s="11">
        <v>27000146</v>
      </c>
      <c r="C40" t="str">
        <f>_xlfn.XLOOKUP(Izpit1[[#This Row],[Vpisna]],Rezultati[Vpisna],Rezultati[Program])</f>
        <v>FIN</v>
      </c>
      <c r="D40" t="s">
        <v>21</v>
      </c>
      <c r="E40" s="13">
        <v>0.375</v>
      </c>
      <c r="F40" s="3" t="s">
        <v>20</v>
      </c>
      <c r="G40">
        <v>18.5</v>
      </c>
      <c r="H40">
        <v>11</v>
      </c>
      <c r="I40">
        <v>12</v>
      </c>
      <c r="J40">
        <v>29</v>
      </c>
      <c r="K40" s="14">
        <f>SUM(Izpit1[[#This Row],[HTML]:[Mathematica]])</f>
        <v>70.5</v>
      </c>
      <c r="M40" s="7" t="s">
        <v>21</v>
      </c>
      <c r="N40" s="11"/>
      <c r="O40" s="11"/>
      <c r="P40" s="11"/>
      <c r="Q40" s="11">
        <v>9</v>
      </c>
      <c r="R40" s="11">
        <v>4</v>
      </c>
      <c r="S40" s="11">
        <v>13</v>
      </c>
    </row>
    <row r="41" spans="2:19" x14ac:dyDescent="0.2">
      <c r="B41" s="11">
        <v>27000148</v>
      </c>
      <c r="C41" t="str">
        <f>_xlfn.XLOOKUP(Izpit1[[#This Row],[Vpisna]],Rezultati[Vpisna],Rezultati[Program])</f>
        <v>FIN</v>
      </c>
      <c r="D41" t="s">
        <v>21</v>
      </c>
      <c r="E41" s="13">
        <v>0.375</v>
      </c>
      <c r="F41" s="3" t="s">
        <v>23</v>
      </c>
      <c r="G41">
        <v>19</v>
      </c>
      <c r="H41">
        <v>36</v>
      </c>
      <c r="I41">
        <v>12</v>
      </c>
      <c r="J41">
        <v>28.5</v>
      </c>
      <c r="K41" s="14">
        <f>SUM(Izpit1[[#This Row],[HTML]:[Mathematica]])</f>
        <v>95.5</v>
      </c>
      <c r="M41" s="6" t="s">
        <v>20</v>
      </c>
      <c r="N41" s="11"/>
      <c r="O41" s="11"/>
      <c r="P41" s="11"/>
      <c r="Q41" s="11">
        <v>16</v>
      </c>
      <c r="R41" s="11">
        <v>4</v>
      </c>
      <c r="S41" s="11">
        <v>20</v>
      </c>
    </row>
    <row r="42" spans="2:19" x14ac:dyDescent="0.2">
      <c r="B42" s="11">
        <v>27000149</v>
      </c>
      <c r="C42" t="str">
        <f>_xlfn.XLOOKUP(Izpit1[[#This Row],[Vpisna]],Rezultati[Vpisna],Rezultati[Program])</f>
        <v>FIN</v>
      </c>
      <c r="D42" t="s">
        <v>19</v>
      </c>
      <c r="E42" s="13">
        <v>0.375</v>
      </c>
      <c r="F42" s="3" t="s">
        <v>20</v>
      </c>
      <c r="G42">
        <v>10</v>
      </c>
      <c r="H42">
        <v>31</v>
      </c>
      <c r="I42">
        <v>12</v>
      </c>
      <c r="J42">
        <v>27</v>
      </c>
      <c r="K42" s="14">
        <f>SUM(Izpit1[[#This Row],[HTML]:[Mathematica]])</f>
        <v>80</v>
      </c>
      <c r="M42" s="7" t="s">
        <v>21</v>
      </c>
      <c r="N42" s="11"/>
      <c r="O42" s="11"/>
      <c r="P42" s="11"/>
      <c r="Q42" s="11">
        <v>13</v>
      </c>
      <c r="R42" s="11">
        <v>4</v>
      </c>
      <c r="S42" s="11">
        <v>17</v>
      </c>
    </row>
    <row r="43" spans="2:19" x14ac:dyDescent="0.2">
      <c r="B43" s="11">
        <v>27000152</v>
      </c>
      <c r="C43" t="str">
        <f>_xlfn.XLOOKUP(Izpit1[[#This Row],[Vpisna]],Rezultati[Vpisna],Rezultati[Program])</f>
        <v>FIN</v>
      </c>
      <c r="D43" t="s">
        <v>21</v>
      </c>
      <c r="E43" s="13">
        <v>0.375</v>
      </c>
      <c r="F43" s="3" t="s">
        <v>20</v>
      </c>
      <c r="G43">
        <v>19</v>
      </c>
      <c r="H43">
        <v>30</v>
      </c>
      <c r="I43">
        <v>12</v>
      </c>
      <c r="J43">
        <v>24.5</v>
      </c>
      <c r="K43" s="14">
        <f>SUM(Izpit1[[#This Row],[HTML]:[Mathematica]])</f>
        <v>85.5</v>
      </c>
      <c r="M43" s="7" t="s">
        <v>19</v>
      </c>
      <c r="N43" s="11"/>
      <c r="O43" s="11"/>
      <c r="P43" s="11"/>
      <c r="Q43" s="11">
        <v>3</v>
      </c>
      <c r="R43" s="11"/>
      <c r="S43" s="11">
        <v>3</v>
      </c>
    </row>
    <row r="44" spans="2:19" x14ac:dyDescent="0.2">
      <c r="B44" s="11">
        <v>27000154</v>
      </c>
      <c r="C44" t="str">
        <f>_xlfn.XLOOKUP(Izpit1[[#This Row],[Vpisna]],Rezultati[Vpisna],Rezultati[Program])</f>
        <v>FIN</v>
      </c>
      <c r="D44" t="s">
        <v>19</v>
      </c>
      <c r="E44" s="13">
        <v>0.375</v>
      </c>
      <c r="F44" s="3" t="s">
        <v>22</v>
      </c>
      <c r="G44">
        <v>17</v>
      </c>
      <c r="H44">
        <v>36</v>
      </c>
      <c r="I44">
        <v>12</v>
      </c>
      <c r="J44">
        <v>30</v>
      </c>
      <c r="K44" s="14">
        <f>SUM(Izpit1[[#This Row],[HTML]:[Mathematica]])</f>
        <v>95</v>
      </c>
      <c r="M44" s="6" t="s">
        <v>22</v>
      </c>
      <c r="N44" s="11"/>
      <c r="O44" s="11"/>
      <c r="P44" s="11"/>
      <c r="Q44" s="11">
        <v>26</v>
      </c>
      <c r="R44" s="11">
        <v>2</v>
      </c>
      <c r="S44" s="11">
        <v>28</v>
      </c>
    </row>
    <row r="45" spans="2:19" x14ac:dyDescent="0.2">
      <c r="B45" s="11">
        <v>27000155</v>
      </c>
      <c r="C45" t="str">
        <f>_xlfn.XLOOKUP(Izpit1[[#This Row],[Vpisna]],Rezultati[Vpisna],Rezultati[Program])</f>
        <v>FIN</v>
      </c>
      <c r="D45" t="s">
        <v>21</v>
      </c>
      <c r="E45" s="13">
        <v>0.375</v>
      </c>
      <c r="F45" s="3" t="s">
        <v>20</v>
      </c>
      <c r="G45">
        <v>16</v>
      </c>
      <c r="H45">
        <v>6</v>
      </c>
      <c r="I45">
        <v>10</v>
      </c>
      <c r="J45">
        <v>22</v>
      </c>
      <c r="K45" s="14">
        <f>SUM(Izpit1[[#This Row],[HTML]:[Mathematica]])</f>
        <v>54</v>
      </c>
      <c r="M45" s="7" t="s">
        <v>19</v>
      </c>
      <c r="N45" s="11"/>
      <c r="O45" s="11"/>
      <c r="P45" s="11"/>
      <c r="Q45" s="11">
        <v>26</v>
      </c>
      <c r="R45" s="11">
        <v>2</v>
      </c>
      <c r="S45" s="11">
        <v>28</v>
      </c>
    </row>
    <row r="46" spans="2:19" x14ac:dyDescent="0.2">
      <c r="B46" s="11">
        <v>27000156</v>
      </c>
      <c r="C46" t="str">
        <f>_xlfn.XLOOKUP(Izpit1[[#This Row],[Vpisna]],Rezultati[Vpisna],Rezultati[Program])</f>
        <v>FIN</v>
      </c>
      <c r="D46" t="s">
        <v>19</v>
      </c>
      <c r="E46" s="13">
        <v>0.375</v>
      </c>
      <c r="F46" s="3" t="s">
        <v>22</v>
      </c>
      <c r="G46">
        <v>18.5</v>
      </c>
      <c r="H46">
        <v>35</v>
      </c>
      <c r="I46">
        <v>12</v>
      </c>
      <c r="J46">
        <v>26</v>
      </c>
      <c r="K46" s="14">
        <f>SUM(Izpit1[[#This Row],[HTML]:[Mathematica]])</f>
        <v>91.5</v>
      </c>
      <c r="M46" s="6" t="s">
        <v>27</v>
      </c>
      <c r="N46" s="11"/>
      <c r="O46" s="11"/>
      <c r="P46" s="11"/>
      <c r="Q46" s="11">
        <v>1</v>
      </c>
      <c r="R46" s="11"/>
      <c r="S46" s="11">
        <v>1</v>
      </c>
    </row>
    <row r="47" spans="2:19" x14ac:dyDescent="0.2">
      <c r="B47" s="11">
        <v>27000159</v>
      </c>
      <c r="C47" t="str">
        <f>_xlfn.XLOOKUP(Izpit1[[#This Row],[Vpisna]],Rezultati[Vpisna],Rezultati[Program])</f>
        <v>FIN</v>
      </c>
      <c r="D47" t="s">
        <v>19</v>
      </c>
      <c r="E47" s="13" t="s">
        <v>24</v>
      </c>
      <c r="F47" s="3" t="s">
        <v>22</v>
      </c>
      <c r="G47">
        <v>0</v>
      </c>
      <c r="H47">
        <v>0</v>
      </c>
      <c r="I47">
        <v>0</v>
      </c>
      <c r="J47">
        <v>0</v>
      </c>
      <c r="K47" s="14">
        <f>SUM(Izpit1[[#This Row],[HTML]:[Mathematica]])</f>
        <v>0</v>
      </c>
      <c r="M47" s="7" t="s">
        <v>19</v>
      </c>
      <c r="N47" s="11"/>
      <c r="O47" s="11"/>
      <c r="P47" s="11"/>
      <c r="Q47" s="11">
        <v>1</v>
      </c>
      <c r="R47" s="11"/>
      <c r="S47" s="11">
        <v>1</v>
      </c>
    </row>
    <row r="48" spans="2:19" x14ac:dyDescent="0.2">
      <c r="B48" s="11">
        <v>27000160</v>
      </c>
      <c r="C48" t="str">
        <f>_xlfn.XLOOKUP(Izpit1[[#This Row],[Vpisna]],Rezultati[Vpisna],Rezultati[Program])</f>
        <v>FIN</v>
      </c>
      <c r="D48" t="s">
        <v>21</v>
      </c>
      <c r="E48" s="13">
        <v>0.375</v>
      </c>
      <c r="F48" s="3" t="s">
        <v>23</v>
      </c>
      <c r="G48">
        <v>18.5</v>
      </c>
      <c r="H48">
        <v>30</v>
      </c>
      <c r="I48">
        <v>12</v>
      </c>
      <c r="J48">
        <v>23</v>
      </c>
      <c r="K48" s="14">
        <f>SUM(Izpit1[[#This Row],[HTML]:[Mathematica]])</f>
        <v>83.5</v>
      </c>
      <c r="M48" s="8" t="s">
        <v>24</v>
      </c>
      <c r="N48" s="11"/>
      <c r="O48" s="11">
        <v>1</v>
      </c>
      <c r="P48" s="11">
        <v>3</v>
      </c>
      <c r="Q48" s="11">
        <v>2</v>
      </c>
      <c r="R48" s="11"/>
      <c r="S48" s="11">
        <v>6</v>
      </c>
    </row>
    <row r="49" spans="2:19" x14ac:dyDescent="0.2">
      <c r="B49" s="11">
        <v>27000162</v>
      </c>
      <c r="C49" t="str">
        <f>_xlfn.XLOOKUP(Izpit1[[#This Row],[Vpisna]],Rezultati[Vpisna],Rezultati[Program])</f>
        <v>FIN</v>
      </c>
      <c r="D49" t="s">
        <v>19</v>
      </c>
      <c r="E49" s="13">
        <v>0.375</v>
      </c>
      <c r="F49" s="3" t="s">
        <v>22</v>
      </c>
      <c r="G49">
        <v>19.5</v>
      </c>
      <c r="H49">
        <v>19</v>
      </c>
      <c r="I49">
        <v>7</v>
      </c>
      <c r="J49">
        <v>20</v>
      </c>
      <c r="K49" s="14">
        <f>SUM(Izpit1[[#This Row],[HTML]:[Mathematica]])</f>
        <v>65.5</v>
      </c>
      <c r="M49" s="6" t="s">
        <v>23</v>
      </c>
      <c r="N49" s="11"/>
      <c r="O49" s="11"/>
      <c r="P49" s="11">
        <v>2</v>
      </c>
      <c r="Q49" s="11">
        <v>1</v>
      </c>
      <c r="R49" s="11"/>
      <c r="S49" s="11">
        <v>3</v>
      </c>
    </row>
    <row r="50" spans="2:19" x14ac:dyDescent="0.2">
      <c r="B50" s="11">
        <v>27000163</v>
      </c>
      <c r="C50" t="str">
        <f>_xlfn.XLOOKUP(Izpit1[[#This Row],[Vpisna]],Rezultati[Vpisna],Rezultati[Program])</f>
        <v>FIN</v>
      </c>
      <c r="D50" t="s">
        <v>19</v>
      </c>
      <c r="E50" s="13">
        <v>0.375</v>
      </c>
      <c r="F50" s="3" t="s">
        <v>22</v>
      </c>
      <c r="G50">
        <v>15.5</v>
      </c>
      <c r="H50">
        <v>0</v>
      </c>
      <c r="I50">
        <v>12</v>
      </c>
      <c r="J50">
        <v>24</v>
      </c>
      <c r="K50" s="14">
        <f>SUM(Izpit1[[#This Row],[HTML]:[Mathematica]])</f>
        <v>51.5</v>
      </c>
      <c r="M50" s="7" t="s">
        <v>21</v>
      </c>
      <c r="N50" s="11"/>
      <c r="O50" s="11"/>
      <c r="P50" s="11">
        <v>2</v>
      </c>
      <c r="Q50" s="11">
        <v>1</v>
      </c>
      <c r="R50" s="11"/>
      <c r="S50" s="11">
        <v>3</v>
      </c>
    </row>
    <row r="51" spans="2:19" x14ac:dyDescent="0.2">
      <c r="B51" s="11">
        <v>27000164</v>
      </c>
      <c r="C51" t="str">
        <f>_xlfn.XLOOKUP(Izpit1[[#This Row],[Vpisna]],Rezultati[Vpisna],Rezultati[Program])</f>
        <v>FIN</v>
      </c>
      <c r="D51" t="s">
        <v>21</v>
      </c>
      <c r="E51" s="13">
        <v>0.375</v>
      </c>
      <c r="F51" s="3" t="s">
        <v>20</v>
      </c>
      <c r="G51">
        <v>17</v>
      </c>
      <c r="H51">
        <v>34</v>
      </c>
      <c r="I51">
        <v>12</v>
      </c>
      <c r="J51">
        <v>29</v>
      </c>
      <c r="K51" s="14">
        <f>SUM(Izpit1[[#This Row],[HTML]:[Mathematica]])</f>
        <v>92</v>
      </c>
      <c r="M51" s="6" t="s">
        <v>20</v>
      </c>
      <c r="N51" s="11"/>
      <c r="O51" s="11">
        <v>1</v>
      </c>
      <c r="P51" s="11"/>
      <c r="Q51" s="11">
        <v>1</v>
      </c>
      <c r="R51" s="11"/>
      <c r="S51" s="11">
        <v>2</v>
      </c>
    </row>
    <row r="52" spans="2:19" x14ac:dyDescent="0.2">
      <c r="B52" s="11">
        <v>27000165</v>
      </c>
      <c r="C52" t="str">
        <f>_xlfn.XLOOKUP(Izpit1[[#This Row],[Vpisna]],Rezultati[Vpisna],Rezultati[Program])</f>
        <v>FIN</v>
      </c>
      <c r="D52" t="s">
        <v>21</v>
      </c>
      <c r="E52" s="13">
        <v>0.375</v>
      </c>
      <c r="F52" s="3" t="s">
        <v>23</v>
      </c>
      <c r="G52">
        <v>18</v>
      </c>
      <c r="H52">
        <v>17</v>
      </c>
      <c r="I52">
        <v>12</v>
      </c>
      <c r="J52">
        <v>23</v>
      </c>
      <c r="K52" s="14">
        <f>SUM(Izpit1[[#This Row],[HTML]:[Mathematica]])</f>
        <v>70</v>
      </c>
      <c r="M52" s="7" t="s">
        <v>21</v>
      </c>
      <c r="N52" s="11"/>
      <c r="O52" s="11">
        <v>1</v>
      </c>
      <c r="P52" s="11"/>
      <c r="Q52" s="11">
        <v>1</v>
      </c>
      <c r="R52" s="11"/>
      <c r="S52" s="11">
        <v>2</v>
      </c>
    </row>
    <row r="53" spans="2:19" x14ac:dyDescent="0.2">
      <c r="B53" s="11">
        <v>27000166</v>
      </c>
      <c r="C53" t="str">
        <f>_xlfn.XLOOKUP(Izpit1[[#This Row],[Vpisna]],Rezultati[Vpisna],Rezultati[Program])</f>
        <v>FIN</v>
      </c>
      <c r="D53" t="s">
        <v>21</v>
      </c>
      <c r="E53" s="13">
        <v>0.375</v>
      </c>
      <c r="F53" s="3" t="s">
        <v>23</v>
      </c>
      <c r="G53">
        <v>18.5</v>
      </c>
      <c r="H53">
        <v>34</v>
      </c>
      <c r="I53">
        <v>12</v>
      </c>
      <c r="J53">
        <v>30.5</v>
      </c>
      <c r="K53" s="14">
        <f>SUM(Izpit1[[#This Row],[HTML]:[Mathematica]])</f>
        <v>95</v>
      </c>
      <c r="M53" s="6" t="s">
        <v>22</v>
      </c>
      <c r="N53" s="11"/>
      <c r="O53" s="11"/>
      <c r="P53" s="11">
        <v>1</v>
      </c>
      <c r="Q53" s="11"/>
      <c r="R53" s="11"/>
      <c r="S53" s="11">
        <v>1</v>
      </c>
    </row>
    <row r="54" spans="2:19" x14ac:dyDescent="0.2">
      <c r="B54" s="11">
        <v>27000167</v>
      </c>
      <c r="C54" t="str">
        <f>_xlfn.XLOOKUP(Izpit1[[#This Row],[Vpisna]],Rezultati[Vpisna],Rezultati[Program])</f>
        <v>FIN</v>
      </c>
      <c r="D54" t="s">
        <v>19</v>
      </c>
      <c r="E54" s="13">
        <v>0.375</v>
      </c>
      <c r="F54" s="3" t="s">
        <v>22</v>
      </c>
      <c r="G54">
        <v>11</v>
      </c>
      <c r="H54">
        <v>25</v>
      </c>
      <c r="I54">
        <v>10</v>
      </c>
      <c r="J54">
        <v>26</v>
      </c>
      <c r="K54" s="14">
        <f>SUM(Izpit1[[#This Row],[HTML]:[Mathematica]])</f>
        <v>72</v>
      </c>
      <c r="M54" s="7" t="s">
        <v>19</v>
      </c>
      <c r="N54" s="11"/>
      <c r="O54" s="11"/>
      <c r="P54" s="11">
        <v>1</v>
      </c>
      <c r="Q54" s="11"/>
      <c r="R54" s="11"/>
      <c r="S54" s="11">
        <v>1</v>
      </c>
    </row>
    <row r="55" spans="2:19" x14ac:dyDescent="0.2">
      <c r="B55" s="11">
        <v>27000171</v>
      </c>
      <c r="C55" t="str">
        <f>_xlfn.XLOOKUP(Izpit1[[#This Row],[Vpisna]],Rezultati[Vpisna],Rezultati[Program])</f>
        <v>FIN</v>
      </c>
      <c r="D55" t="s">
        <v>21</v>
      </c>
      <c r="E55" s="13">
        <v>0.375</v>
      </c>
      <c r="F55" s="3" t="s">
        <v>23</v>
      </c>
      <c r="G55">
        <v>16</v>
      </c>
      <c r="H55">
        <v>8</v>
      </c>
      <c r="I55">
        <v>8</v>
      </c>
      <c r="J55">
        <v>21</v>
      </c>
      <c r="K55" s="14">
        <f>SUM(Izpit1[[#This Row],[HTML]:[Mathematica]])</f>
        <v>53</v>
      </c>
      <c r="M55" s="5" t="s">
        <v>26</v>
      </c>
      <c r="N55" s="11">
        <v>4</v>
      </c>
      <c r="O55" s="11">
        <v>8</v>
      </c>
      <c r="P55" s="11">
        <v>58</v>
      </c>
      <c r="Q55" s="11">
        <v>54</v>
      </c>
      <c r="R55" s="11">
        <v>10</v>
      </c>
      <c r="S55" s="11">
        <v>134</v>
      </c>
    </row>
    <row r="56" spans="2:19" x14ac:dyDescent="0.2">
      <c r="B56" s="11">
        <v>27000173</v>
      </c>
      <c r="C56" t="str">
        <f>_xlfn.XLOOKUP(Izpit1[[#This Row],[Vpisna]],Rezultati[Vpisna],Rezultati[Program])</f>
        <v>FIN</v>
      </c>
      <c r="D56" t="s">
        <v>19</v>
      </c>
      <c r="E56" s="13">
        <v>0.375</v>
      </c>
      <c r="F56" s="3" t="s">
        <v>22</v>
      </c>
      <c r="G56">
        <v>18</v>
      </c>
      <c r="H56">
        <v>32</v>
      </c>
      <c r="I56">
        <v>12</v>
      </c>
      <c r="J56">
        <v>29</v>
      </c>
      <c r="K56" s="14">
        <f>SUM(Izpit1[[#This Row],[HTML]:[Mathematica]])</f>
        <v>91</v>
      </c>
    </row>
    <row r="57" spans="2:19" x14ac:dyDescent="0.2">
      <c r="B57" s="11">
        <v>27000176</v>
      </c>
      <c r="C57" t="str">
        <f>_xlfn.XLOOKUP(Izpit1[[#This Row],[Vpisna]],Rezultati[Vpisna],Rezultati[Program])</f>
        <v>FIN</v>
      </c>
      <c r="D57" t="s">
        <v>21</v>
      </c>
      <c r="E57" s="13">
        <v>0.375</v>
      </c>
      <c r="F57" s="3" t="s">
        <v>23</v>
      </c>
      <c r="G57">
        <v>19</v>
      </c>
      <c r="H57">
        <v>27</v>
      </c>
      <c r="I57">
        <v>12</v>
      </c>
      <c r="J57">
        <v>12</v>
      </c>
      <c r="K57" s="14">
        <f>SUM(Izpit1[[#This Row],[HTML]:[Mathematica]])</f>
        <v>70</v>
      </c>
    </row>
    <row r="58" spans="2:19" x14ac:dyDescent="0.2">
      <c r="B58" s="11">
        <v>27000177</v>
      </c>
      <c r="C58" t="str">
        <f>_xlfn.XLOOKUP(Izpit1[[#This Row],[Vpisna]],Rezultati[Vpisna],Rezultati[Program])</f>
        <v>FIN</v>
      </c>
      <c r="D58" t="s">
        <v>21</v>
      </c>
      <c r="E58" s="13">
        <v>0.375</v>
      </c>
      <c r="F58" s="3" t="s">
        <v>23</v>
      </c>
      <c r="G58">
        <v>20</v>
      </c>
      <c r="H58">
        <v>31</v>
      </c>
      <c r="I58">
        <v>12</v>
      </c>
      <c r="J58">
        <v>30</v>
      </c>
      <c r="K58" s="14">
        <f>SUM(Izpit1[[#This Row],[HTML]:[Mathematica]])</f>
        <v>93</v>
      </c>
    </row>
    <row r="59" spans="2:19" x14ac:dyDescent="0.2">
      <c r="B59" s="11">
        <v>27000179</v>
      </c>
      <c r="C59" t="str">
        <f>_xlfn.XLOOKUP(Izpit1[[#This Row],[Vpisna]],Rezultati[Vpisna],Rezultati[Program])</f>
        <v>FIN</v>
      </c>
      <c r="D59" t="s">
        <v>21</v>
      </c>
      <c r="E59" s="13">
        <v>0.375</v>
      </c>
      <c r="F59" s="3" t="s">
        <v>20</v>
      </c>
      <c r="G59">
        <v>19</v>
      </c>
      <c r="H59">
        <v>34</v>
      </c>
      <c r="I59">
        <v>12</v>
      </c>
      <c r="J59">
        <v>15</v>
      </c>
      <c r="K59" s="14">
        <f>SUM(Izpit1[[#This Row],[HTML]:[Mathematica]])</f>
        <v>80</v>
      </c>
    </row>
    <row r="60" spans="2:19" x14ac:dyDescent="0.2">
      <c r="B60" s="11">
        <v>27000181</v>
      </c>
      <c r="C60" t="str">
        <f>_xlfn.XLOOKUP(Izpit1[[#This Row],[Vpisna]],Rezultati[Vpisna],Rezultati[Program])</f>
        <v>FIN</v>
      </c>
      <c r="D60" t="s">
        <v>19</v>
      </c>
      <c r="E60" s="13">
        <v>0.375</v>
      </c>
      <c r="F60" s="3" t="s">
        <v>22</v>
      </c>
      <c r="G60">
        <v>5.5</v>
      </c>
      <c r="H60">
        <v>33</v>
      </c>
      <c r="I60">
        <v>12</v>
      </c>
      <c r="J60">
        <v>15</v>
      </c>
      <c r="K60" s="14">
        <f>SUM(Izpit1[[#This Row],[HTML]:[Mathematica]])</f>
        <v>65.5</v>
      </c>
    </row>
    <row r="61" spans="2:19" x14ac:dyDescent="0.2">
      <c r="B61" s="11">
        <v>27000182</v>
      </c>
      <c r="C61" t="str">
        <f>_xlfn.XLOOKUP(Izpit1[[#This Row],[Vpisna]],Rezultati[Vpisna],Rezultati[Program])</f>
        <v>FIN</v>
      </c>
      <c r="D61" t="s">
        <v>21</v>
      </c>
      <c r="E61" s="13">
        <v>0.375</v>
      </c>
      <c r="F61" s="3" t="s">
        <v>23</v>
      </c>
      <c r="G61">
        <v>18</v>
      </c>
      <c r="H61">
        <v>23</v>
      </c>
      <c r="I61">
        <v>0</v>
      </c>
      <c r="J61">
        <v>19</v>
      </c>
      <c r="K61" s="14">
        <f>SUM(Izpit1[[#This Row],[HTML]:[Mathematica]])</f>
        <v>60</v>
      </c>
    </row>
    <row r="62" spans="2:19" x14ac:dyDescent="0.2">
      <c r="B62" s="11">
        <v>27000187</v>
      </c>
      <c r="C62" t="str">
        <f>_xlfn.XLOOKUP(Izpit1[[#This Row],[Vpisna]],Rezultati[Vpisna],Rezultati[Program])</f>
        <v>FIN</v>
      </c>
      <c r="D62" t="s">
        <v>19</v>
      </c>
      <c r="E62" s="13">
        <v>0.375</v>
      </c>
      <c r="F62" s="3" t="s">
        <v>20</v>
      </c>
      <c r="G62">
        <v>18</v>
      </c>
      <c r="H62">
        <v>36</v>
      </c>
      <c r="I62">
        <v>12</v>
      </c>
      <c r="J62">
        <v>28</v>
      </c>
      <c r="K62" s="14">
        <f>SUM(Izpit1[[#This Row],[HTML]:[Mathematica]])</f>
        <v>94</v>
      </c>
    </row>
    <row r="63" spans="2:19" x14ac:dyDescent="0.2">
      <c r="B63" s="11">
        <v>27000189</v>
      </c>
      <c r="C63" t="str">
        <f>_xlfn.XLOOKUP(Izpit1[[#This Row],[Vpisna]],Rezultati[Vpisna],Rezultati[Program])</f>
        <v>FIN</v>
      </c>
      <c r="D63" t="s">
        <v>19</v>
      </c>
      <c r="E63" s="13">
        <v>0.375</v>
      </c>
      <c r="F63" s="3" t="s">
        <v>22</v>
      </c>
      <c r="G63">
        <v>16</v>
      </c>
      <c r="H63">
        <v>29</v>
      </c>
      <c r="I63">
        <v>12</v>
      </c>
      <c r="J63">
        <v>17</v>
      </c>
      <c r="K63" s="14">
        <f>SUM(Izpit1[[#This Row],[HTML]:[Mathematica]])</f>
        <v>74</v>
      </c>
    </row>
    <row r="64" spans="2:19" x14ac:dyDescent="0.2">
      <c r="B64" s="11">
        <v>27000190</v>
      </c>
      <c r="C64" t="str">
        <f>_xlfn.XLOOKUP(Izpit1[[#This Row],[Vpisna]],Rezultati[Vpisna],Rezultati[Program])</f>
        <v>FIN</v>
      </c>
      <c r="D64" t="s">
        <v>19</v>
      </c>
      <c r="E64" s="13">
        <v>0.375</v>
      </c>
      <c r="F64" s="3" t="s">
        <v>22</v>
      </c>
      <c r="G64">
        <v>17</v>
      </c>
      <c r="H64">
        <v>35</v>
      </c>
      <c r="I64">
        <v>12</v>
      </c>
      <c r="J64">
        <v>26</v>
      </c>
      <c r="K64" s="14">
        <f>SUM(Izpit1[[#This Row],[HTML]:[Mathematica]])</f>
        <v>90</v>
      </c>
    </row>
    <row r="65" spans="2:11" x14ac:dyDescent="0.2">
      <c r="B65" s="11">
        <v>27000191</v>
      </c>
      <c r="C65" t="str">
        <f>_xlfn.XLOOKUP(Izpit1[[#This Row],[Vpisna]],Rezultati[Vpisna],Rezultati[Program])</f>
        <v>FIN</v>
      </c>
      <c r="D65" t="s">
        <v>21</v>
      </c>
      <c r="E65" s="13" t="s">
        <v>24</v>
      </c>
      <c r="F65" s="3" t="s">
        <v>23</v>
      </c>
      <c r="G65">
        <v>0</v>
      </c>
      <c r="H65">
        <v>0</v>
      </c>
      <c r="I65">
        <v>0</v>
      </c>
      <c r="J65">
        <v>0</v>
      </c>
      <c r="K65" s="14">
        <f>SUM(Izpit1[[#This Row],[HTML]:[Mathematica]])</f>
        <v>0</v>
      </c>
    </row>
    <row r="66" spans="2:11" x14ac:dyDescent="0.2">
      <c r="B66" s="11">
        <v>27000192</v>
      </c>
      <c r="C66" t="str">
        <f>_xlfn.XLOOKUP(Izpit1[[#This Row],[Vpisna]],Rezultati[Vpisna],Rezultati[Program])</f>
        <v>FIN</v>
      </c>
      <c r="D66" t="s">
        <v>21</v>
      </c>
      <c r="E66" s="13" t="s">
        <v>24</v>
      </c>
      <c r="F66" s="3" t="s">
        <v>23</v>
      </c>
      <c r="G66">
        <v>0</v>
      </c>
      <c r="H66">
        <v>0</v>
      </c>
      <c r="I66">
        <v>0</v>
      </c>
      <c r="J66">
        <v>0</v>
      </c>
      <c r="K66" s="14">
        <f>SUM(Izpit1[[#This Row],[HTML]:[Mathematica]])</f>
        <v>0</v>
      </c>
    </row>
    <row r="67" spans="2:11" x14ac:dyDescent="0.2">
      <c r="B67" s="11">
        <v>27000193</v>
      </c>
      <c r="C67" t="str">
        <f>_xlfn.XLOOKUP(Izpit1[[#This Row],[Vpisna]],Rezultati[Vpisna],Rezultati[Program])</f>
        <v>FIN</v>
      </c>
      <c r="D67" t="s">
        <v>19</v>
      </c>
      <c r="E67" s="13">
        <v>0.375</v>
      </c>
      <c r="F67" s="3" t="s">
        <v>22</v>
      </c>
      <c r="G67">
        <v>0</v>
      </c>
      <c r="H67">
        <v>0</v>
      </c>
      <c r="I67">
        <v>0</v>
      </c>
      <c r="J67">
        <v>0</v>
      </c>
      <c r="K67" s="14">
        <f>SUM(Izpit1[[#This Row],[HTML]:[Mathematica]])</f>
        <v>0</v>
      </c>
    </row>
    <row r="68" spans="2:11" x14ac:dyDescent="0.2">
      <c r="B68" s="11">
        <v>27000194</v>
      </c>
      <c r="C68" t="str">
        <f>_xlfn.XLOOKUP(Izpit1[[#This Row],[Vpisna]],Rezultati[Vpisna],Rezultati[Program])</f>
        <v>FIN</v>
      </c>
      <c r="D68" t="s">
        <v>21</v>
      </c>
      <c r="E68" s="13">
        <v>0.375</v>
      </c>
      <c r="F68" s="3" t="s">
        <v>23</v>
      </c>
      <c r="G68">
        <v>0</v>
      </c>
      <c r="H68">
        <v>13</v>
      </c>
      <c r="I68">
        <v>0</v>
      </c>
      <c r="J68">
        <v>23</v>
      </c>
      <c r="K68" s="14">
        <f>SUM(Izpit1[[#This Row],[HTML]:[Mathematica]])</f>
        <v>36</v>
      </c>
    </row>
    <row r="69" spans="2:11" x14ac:dyDescent="0.2">
      <c r="B69" s="11">
        <v>27000196</v>
      </c>
      <c r="C69" t="str">
        <f>_xlfn.XLOOKUP(Izpit1[[#This Row],[Vpisna]],Rezultati[Vpisna],Rezultati[Program])</f>
        <v>FIN</v>
      </c>
      <c r="D69" t="s">
        <v>21</v>
      </c>
      <c r="E69" s="13">
        <v>0.375</v>
      </c>
      <c r="F69" s="3" t="s">
        <v>23</v>
      </c>
      <c r="G69">
        <v>15.5</v>
      </c>
      <c r="H69">
        <v>19</v>
      </c>
      <c r="I69">
        <v>12</v>
      </c>
      <c r="J69">
        <v>26</v>
      </c>
      <c r="K69" s="14">
        <f>SUM(Izpit1[[#This Row],[HTML]:[Mathematica]])</f>
        <v>72.5</v>
      </c>
    </row>
    <row r="70" spans="2:11" x14ac:dyDescent="0.2">
      <c r="B70" s="11">
        <v>27000201</v>
      </c>
      <c r="C70" t="str">
        <f>_xlfn.XLOOKUP(Izpit1[[#This Row],[Vpisna]],Rezultati[Vpisna],Rezultati[Program])</f>
        <v>FIN</v>
      </c>
      <c r="D70" t="s">
        <v>19</v>
      </c>
      <c r="E70" s="13">
        <v>0.375</v>
      </c>
      <c r="F70" s="3" t="s">
        <v>22</v>
      </c>
      <c r="G70">
        <v>0</v>
      </c>
      <c r="H70">
        <v>0</v>
      </c>
      <c r="I70">
        <v>0</v>
      </c>
      <c r="J70">
        <v>24</v>
      </c>
      <c r="K70" s="14">
        <f>SUM(Izpit1[[#This Row],[HTML]:[Mathematica]])</f>
        <v>24</v>
      </c>
    </row>
    <row r="71" spans="2:11" x14ac:dyDescent="0.2">
      <c r="B71" s="11">
        <v>27000203</v>
      </c>
      <c r="C71" t="str">
        <f>_xlfn.XLOOKUP(Izpit1[[#This Row],[Vpisna]],Rezultati[Vpisna],Rezultati[Program])</f>
        <v>FIN</v>
      </c>
      <c r="D71" t="s">
        <v>19</v>
      </c>
      <c r="E71" s="13">
        <v>0.375</v>
      </c>
      <c r="F71" s="3" t="s">
        <v>22</v>
      </c>
      <c r="G71">
        <v>0</v>
      </c>
      <c r="H71">
        <v>33</v>
      </c>
      <c r="I71">
        <v>0</v>
      </c>
      <c r="J71">
        <v>29</v>
      </c>
      <c r="K71" s="14">
        <f>SUM(Izpit1[[#This Row],[HTML]:[Mathematica]])</f>
        <v>62</v>
      </c>
    </row>
    <row r="72" spans="2:11" x14ac:dyDescent="0.2">
      <c r="B72" s="11">
        <v>27000205</v>
      </c>
      <c r="C72" t="str">
        <f>_xlfn.XLOOKUP(Izpit1[[#This Row],[Vpisna]],Rezultati[Vpisna],Rezultati[Program])</f>
        <v>FIN</v>
      </c>
      <c r="D72" t="s">
        <v>19</v>
      </c>
      <c r="E72" s="13">
        <v>0.375</v>
      </c>
      <c r="F72" s="3" t="s">
        <v>20</v>
      </c>
      <c r="G72">
        <v>0</v>
      </c>
      <c r="H72">
        <v>0</v>
      </c>
      <c r="I72">
        <v>0</v>
      </c>
      <c r="J72">
        <v>0</v>
      </c>
      <c r="K72" s="14">
        <f>SUM(Izpit1[[#This Row],[HTML]:[Mathematica]])</f>
        <v>0</v>
      </c>
    </row>
    <row r="73" spans="2:11" x14ac:dyDescent="0.2">
      <c r="B73" s="11">
        <v>27000208</v>
      </c>
      <c r="C73" t="str">
        <f>_xlfn.XLOOKUP(Izpit1[[#This Row],[Vpisna]],Rezultati[Vpisna],Rezultati[Program])</f>
        <v>FIN</v>
      </c>
      <c r="D73" t="s">
        <v>19</v>
      </c>
      <c r="E73" s="13">
        <v>0.375</v>
      </c>
      <c r="F73" s="3" t="s">
        <v>22</v>
      </c>
      <c r="G73">
        <v>17</v>
      </c>
      <c r="H73">
        <v>21</v>
      </c>
      <c r="I73">
        <v>12</v>
      </c>
      <c r="J73">
        <v>25.5</v>
      </c>
      <c r="K73" s="14">
        <f>SUM(Izpit1[[#This Row],[HTML]:[Mathematica]])</f>
        <v>75.5</v>
      </c>
    </row>
    <row r="74" spans="2:11" x14ac:dyDescent="0.2">
      <c r="B74" s="11">
        <v>27000210</v>
      </c>
      <c r="C74" t="str">
        <f>_xlfn.XLOOKUP(Izpit1[[#This Row],[Vpisna]],Rezultati[Vpisna],Rezultati[Program])</f>
        <v>MAT</v>
      </c>
      <c r="D74" t="s">
        <v>21</v>
      </c>
      <c r="E74" s="13">
        <v>0.5</v>
      </c>
      <c r="F74" s="3" t="s">
        <v>20</v>
      </c>
      <c r="G74">
        <v>0</v>
      </c>
      <c r="H74">
        <v>0</v>
      </c>
      <c r="I74">
        <v>0</v>
      </c>
      <c r="J74">
        <v>0</v>
      </c>
      <c r="K74" s="14">
        <f>SUM(Izpit1[[#This Row],[HTML]:[Mathematica]])</f>
        <v>0</v>
      </c>
    </row>
    <row r="75" spans="2:11" x14ac:dyDescent="0.2">
      <c r="B75" s="11">
        <v>27000211</v>
      </c>
      <c r="C75" t="str">
        <f>_xlfn.XLOOKUP(Izpit1[[#This Row],[Vpisna]],Rezultati[Vpisna],Rezultati[Program])</f>
        <v>MAT</v>
      </c>
      <c r="D75" t="s">
        <v>19</v>
      </c>
      <c r="E75" s="13">
        <v>0.5</v>
      </c>
      <c r="F75" s="3" t="s">
        <v>22</v>
      </c>
      <c r="G75">
        <v>15.5</v>
      </c>
      <c r="H75">
        <v>36</v>
      </c>
      <c r="I75">
        <v>12</v>
      </c>
      <c r="J75">
        <v>32</v>
      </c>
      <c r="K75" s="14">
        <f>SUM(Izpit1[[#This Row],[HTML]:[Mathematica]])</f>
        <v>95.5</v>
      </c>
    </row>
    <row r="76" spans="2:11" x14ac:dyDescent="0.2">
      <c r="B76" s="11">
        <v>27000212</v>
      </c>
      <c r="C76" t="str">
        <f>_xlfn.XLOOKUP(Izpit1[[#This Row],[Vpisna]],Rezultati[Vpisna],Rezultati[Program])</f>
        <v>MAT</v>
      </c>
      <c r="D76" t="s">
        <v>21</v>
      </c>
      <c r="E76" s="13">
        <v>0.5</v>
      </c>
      <c r="F76" s="3" t="s">
        <v>23</v>
      </c>
      <c r="G76">
        <v>19</v>
      </c>
      <c r="H76">
        <v>23</v>
      </c>
      <c r="I76">
        <v>0</v>
      </c>
      <c r="J76">
        <v>23.5</v>
      </c>
      <c r="K76" s="14">
        <f>SUM(Izpit1[[#This Row],[HTML]:[Mathematica]])</f>
        <v>65.5</v>
      </c>
    </row>
    <row r="77" spans="2:11" x14ac:dyDescent="0.2">
      <c r="B77" s="11">
        <v>27000213</v>
      </c>
      <c r="C77" t="str">
        <f>_xlfn.XLOOKUP(Izpit1[[#This Row],[Vpisna]],Rezultati[Vpisna],Rezultati[Program])</f>
        <v>MAT</v>
      </c>
      <c r="D77" t="s">
        <v>21</v>
      </c>
      <c r="E77" s="13">
        <v>0.5</v>
      </c>
      <c r="F77" s="3" t="s">
        <v>23</v>
      </c>
      <c r="G77">
        <v>20</v>
      </c>
      <c r="H77">
        <v>35</v>
      </c>
      <c r="I77">
        <v>12</v>
      </c>
      <c r="J77">
        <v>29</v>
      </c>
      <c r="K77" s="14">
        <f>SUM(Izpit1[[#This Row],[HTML]:[Mathematica]])</f>
        <v>96</v>
      </c>
    </row>
    <row r="78" spans="2:11" x14ac:dyDescent="0.2">
      <c r="B78" s="11">
        <v>27000216</v>
      </c>
      <c r="C78" t="str">
        <f>_xlfn.XLOOKUP(Izpit1[[#This Row],[Vpisna]],Rezultati[Vpisna],Rezultati[Program])</f>
        <v>MAT</v>
      </c>
      <c r="D78" t="s">
        <v>19</v>
      </c>
      <c r="E78" s="13">
        <v>0.5</v>
      </c>
      <c r="F78" s="3" t="s">
        <v>20</v>
      </c>
      <c r="G78">
        <v>14.5</v>
      </c>
      <c r="H78">
        <v>34</v>
      </c>
      <c r="I78">
        <v>12</v>
      </c>
      <c r="J78">
        <v>29.5</v>
      </c>
      <c r="K78" s="14">
        <f>SUM(Izpit1[[#This Row],[HTML]:[Mathematica]])</f>
        <v>90</v>
      </c>
    </row>
    <row r="79" spans="2:11" x14ac:dyDescent="0.2">
      <c r="B79" s="11">
        <v>27000217</v>
      </c>
      <c r="C79" t="str">
        <f>_xlfn.XLOOKUP(Izpit1[[#This Row],[Vpisna]],Rezultati[Vpisna],Rezultati[Program])</f>
        <v>MAT</v>
      </c>
      <c r="D79" t="s">
        <v>19</v>
      </c>
      <c r="E79" s="13">
        <v>0.5</v>
      </c>
      <c r="F79" s="3" t="s">
        <v>22</v>
      </c>
      <c r="G79">
        <v>20</v>
      </c>
      <c r="H79">
        <v>36</v>
      </c>
      <c r="I79">
        <v>12</v>
      </c>
      <c r="J79">
        <v>30</v>
      </c>
      <c r="K79" s="14">
        <f>SUM(Izpit1[[#This Row],[HTML]:[Mathematica]])</f>
        <v>98</v>
      </c>
    </row>
    <row r="80" spans="2:11" x14ac:dyDescent="0.2">
      <c r="B80" s="11">
        <v>27000221</v>
      </c>
      <c r="C80" t="str">
        <f>_xlfn.XLOOKUP(Izpit1[[#This Row],[Vpisna]],Rezultati[Vpisna],Rezultati[Program])</f>
        <v>MAT</v>
      </c>
      <c r="D80" t="s">
        <v>21</v>
      </c>
      <c r="E80" s="13">
        <v>0.5</v>
      </c>
      <c r="F80" s="3" t="s">
        <v>23</v>
      </c>
      <c r="G80">
        <v>19</v>
      </c>
      <c r="H80">
        <v>20</v>
      </c>
      <c r="I80">
        <v>0</v>
      </c>
      <c r="J80">
        <v>21</v>
      </c>
      <c r="K80" s="14">
        <f>SUM(Izpit1[[#This Row],[HTML]:[Mathematica]])</f>
        <v>60</v>
      </c>
    </row>
    <row r="81" spans="2:11" x14ac:dyDescent="0.2">
      <c r="B81" s="11">
        <v>27000223</v>
      </c>
      <c r="C81" t="str">
        <f>_xlfn.XLOOKUP(Izpit1[[#This Row],[Vpisna]],Rezultati[Vpisna],Rezultati[Program])</f>
        <v>MAT</v>
      </c>
      <c r="D81" t="s">
        <v>19</v>
      </c>
      <c r="E81" s="13">
        <v>0.5</v>
      </c>
      <c r="F81" s="3" t="s">
        <v>22</v>
      </c>
      <c r="G81">
        <v>18.5</v>
      </c>
      <c r="H81">
        <v>35</v>
      </c>
      <c r="I81">
        <v>12</v>
      </c>
      <c r="J81">
        <v>32</v>
      </c>
      <c r="K81" s="14">
        <f>SUM(Izpit1[[#This Row],[HTML]:[Mathematica]])</f>
        <v>97.5</v>
      </c>
    </row>
    <row r="82" spans="2:11" x14ac:dyDescent="0.2">
      <c r="B82" s="11">
        <v>27000225</v>
      </c>
      <c r="C82" t="str">
        <f>_xlfn.XLOOKUP(Izpit1[[#This Row],[Vpisna]],Rezultati[Vpisna],Rezultati[Program])</f>
        <v>MAT</v>
      </c>
      <c r="D82" t="s">
        <v>19</v>
      </c>
      <c r="E82" s="13">
        <v>0.5</v>
      </c>
      <c r="F82" s="3" t="s">
        <v>22</v>
      </c>
      <c r="G82">
        <v>18</v>
      </c>
      <c r="H82">
        <v>36</v>
      </c>
      <c r="I82">
        <v>12</v>
      </c>
      <c r="J82">
        <v>31</v>
      </c>
      <c r="K82" s="14">
        <f>SUM(Izpit1[[#This Row],[HTML]:[Mathematica]])</f>
        <v>97</v>
      </c>
    </row>
    <row r="83" spans="2:11" x14ac:dyDescent="0.2">
      <c r="B83" s="11">
        <v>27000226</v>
      </c>
      <c r="C83" t="str">
        <f>_xlfn.XLOOKUP(Izpit1[[#This Row],[Vpisna]],Rezultati[Vpisna],Rezultati[Program])</f>
        <v>MAT</v>
      </c>
      <c r="D83" t="s">
        <v>21</v>
      </c>
      <c r="E83" s="13">
        <v>0.5</v>
      </c>
      <c r="F83" s="3" t="s">
        <v>20</v>
      </c>
      <c r="G83">
        <v>19.5</v>
      </c>
      <c r="H83">
        <v>32</v>
      </c>
      <c r="I83">
        <v>9</v>
      </c>
      <c r="J83">
        <v>19.5</v>
      </c>
      <c r="K83" s="14">
        <f>SUM(Izpit1[[#This Row],[HTML]:[Mathematica]])</f>
        <v>80</v>
      </c>
    </row>
    <row r="84" spans="2:11" x14ac:dyDescent="0.2">
      <c r="B84" s="11">
        <v>27000227</v>
      </c>
      <c r="C84" t="str">
        <f>_xlfn.XLOOKUP(Izpit1[[#This Row],[Vpisna]],Rezultati[Vpisna],Rezultati[Program])</f>
        <v>MAT</v>
      </c>
      <c r="D84" t="s">
        <v>21</v>
      </c>
      <c r="E84" s="13">
        <v>0.5</v>
      </c>
      <c r="F84" s="3" t="s">
        <v>20</v>
      </c>
      <c r="G84">
        <v>20</v>
      </c>
      <c r="H84">
        <v>24</v>
      </c>
      <c r="I84">
        <v>0</v>
      </c>
      <c r="J84">
        <v>18</v>
      </c>
      <c r="K84" s="14">
        <f>SUM(Izpit1[[#This Row],[HTML]:[Mathematica]])</f>
        <v>62</v>
      </c>
    </row>
    <row r="85" spans="2:11" x14ac:dyDescent="0.2">
      <c r="B85" s="11">
        <v>27000230</v>
      </c>
      <c r="C85" t="str">
        <f>_xlfn.XLOOKUP(Izpit1[[#This Row],[Vpisna]],Rezultati[Vpisna],Rezultati[Program])</f>
        <v>MAT</v>
      </c>
      <c r="D85" t="s">
        <v>21</v>
      </c>
      <c r="E85" s="13">
        <v>0.5</v>
      </c>
      <c r="F85" s="3" t="s">
        <v>23</v>
      </c>
      <c r="G85">
        <v>18</v>
      </c>
      <c r="H85">
        <v>30</v>
      </c>
      <c r="I85">
        <v>12</v>
      </c>
      <c r="J85">
        <v>32</v>
      </c>
      <c r="K85" s="14">
        <f>SUM(Izpit1[[#This Row],[HTML]:[Mathematica]])</f>
        <v>92</v>
      </c>
    </row>
    <row r="86" spans="2:11" x14ac:dyDescent="0.2">
      <c r="B86" s="11">
        <v>27000231</v>
      </c>
      <c r="C86" t="str">
        <f>_xlfn.XLOOKUP(Izpit1[[#This Row],[Vpisna]],Rezultati[Vpisna],Rezultati[Program])</f>
        <v>MAT</v>
      </c>
      <c r="D86" t="s">
        <v>19</v>
      </c>
      <c r="E86" s="13">
        <v>0.5</v>
      </c>
      <c r="F86" s="3" t="s">
        <v>22</v>
      </c>
      <c r="G86">
        <v>18.5</v>
      </c>
      <c r="H86">
        <v>36</v>
      </c>
      <c r="I86">
        <v>12</v>
      </c>
      <c r="J86">
        <v>32</v>
      </c>
      <c r="K86" s="14">
        <f>SUM(Izpit1[[#This Row],[HTML]:[Mathematica]])</f>
        <v>98.5</v>
      </c>
    </row>
    <row r="87" spans="2:11" x14ac:dyDescent="0.2">
      <c r="B87" s="11">
        <v>27000232</v>
      </c>
      <c r="C87" t="str">
        <f>_xlfn.XLOOKUP(Izpit1[[#This Row],[Vpisna]],Rezultati[Vpisna],Rezultati[Program])</f>
        <v>MAT</v>
      </c>
      <c r="D87" t="s">
        <v>19</v>
      </c>
      <c r="E87" s="13">
        <v>0.5</v>
      </c>
      <c r="F87" s="3" t="s">
        <v>22</v>
      </c>
      <c r="G87">
        <v>0</v>
      </c>
      <c r="H87">
        <v>0</v>
      </c>
      <c r="I87">
        <v>0</v>
      </c>
      <c r="J87">
        <v>0</v>
      </c>
      <c r="K87" s="14">
        <f>SUM(Izpit1[[#This Row],[HTML]:[Mathematica]])</f>
        <v>0</v>
      </c>
    </row>
    <row r="88" spans="2:11" x14ac:dyDescent="0.2">
      <c r="B88" s="11">
        <v>27000234</v>
      </c>
      <c r="C88" t="str">
        <f>_xlfn.XLOOKUP(Izpit1[[#This Row],[Vpisna]],Rezultati[Vpisna],Rezultati[Program])</f>
        <v>MAT</v>
      </c>
      <c r="D88" t="s">
        <v>21</v>
      </c>
      <c r="E88" s="13">
        <v>0.5</v>
      </c>
      <c r="F88" s="3" t="s">
        <v>20</v>
      </c>
      <c r="G88">
        <v>19</v>
      </c>
      <c r="H88">
        <v>36</v>
      </c>
      <c r="I88">
        <v>12</v>
      </c>
      <c r="J88">
        <v>32</v>
      </c>
      <c r="K88" s="14">
        <f>SUM(Izpit1[[#This Row],[HTML]:[Mathematica]])</f>
        <v>99</v>
      </c>
    </row>
    <row r="89" spans="2:11" x14ac:dyDescent="0.2">
      <c r="B89" s="11">
        <v>27000236</v>
      </c>
      <c r="C89" t="str">
        <f>_xlfn.XLOOKUP(Izpit1[[#This Row],[Vpisna]],Rezultati[Vpisna],Rezultati[Program])</f>
        <v>MAT</v>
      </c>
      <c r="D89" t="s">
        <v>19</v>
      </c>
      <c r="E89" s="13">
        <v>0.5</v>
      </c>
      <c r="F89" s="3" t="s">
        <v>22</v>
      </c>
      <c r="G89">
        <v>19.5</v>
      </c>
      <c r="H89">
        <v>30</v>
      </c>
      <c r="I89">
        <v>12</v>
      </c>
      <c r="J89">
        <v>25</v>
      </c>
      <c r="K89" s="14">
        <f>SUM(Izpit1[[#This Row],[HTML]:[Mathematica]])</f>
        <v>86.5</v>
      </c>
    </row>
    <row r="90" spans="2:11" x14ac:dyDescent="0.2">
      <c r="B90" s="11">
        <v>27000237</v>
      </c>
      <c r="C90" t="str">
        <f>_xlfn.XLOOKUP(Izpit1[[#This Row],[Vpisna]],Rezultati[Vpisna],Rezultati[Program])</f>
        <v>MAT</v>
      </c>
      <c r="D90" t="s">
        <v>21</v>
      </c>
      <c r="E90" s="13">
        <v>0.5</v>
      </c>
      <c r="F90" s="3" t="s">
        <v>20</v>
      </c>
      <c r="G90">
        <v>18.5</v>
      </c>
      <c r="H90">
        <v>23</v>
      </c>
      <c r="I90">
        <v>7</v>
      </c>
      <c r="J90">
        <v>31.5</v>
      </c>
      <c r="K90" s="14">
        <f>SUM(Izpit1[[#This Row],[HTML]:[Mathematica]])</f>
        <v>80</v>
      </c>
    </row>
    <row r="91" spans="2:11" x14ac:dyDescent="0.2">
      <c r="B91" s="11">
        <v>27000238</v>
      </c>
      <c r="C91" t="str">
        <f>_xlfn.XLOOKUP(Izpit1[[#This Row],[Vpisna]],Rezultati[Vpisna],Rezultati[Program])</f>
        <v>MAT</v>
      </c>
      <c r="D91" t="s">
        <v>19</v>
      </c>
      <c r="E91" s="13">
        <v>0.5</v>
      </c>
      <c r="F91" s="3" t="s">
        <v>22</v>
      </c>
      <c r="G91">
        <v>16.5</v>
      </c>
      <c r="H91">
        <v>9</v>
      </c>
      <c r="I91">
        <v>0</v>
      </c>
      <c r="J91">
        <v>13</v>
      </c>
      <c r="K91" s="14">
        <f>SUM(Izpit1[[#This Row],[HTML]:[Mathematica]])</f>
        <v>38.5</v>
      </c>
    </row>
    <row r="92" spans="2:11" x14ac:dyDescent="0.2">
      <c r="B92" s="11">
        <v>27000239</v>
      </c>
      <c r="C92" t="str">
        <f>_xlfn.XLOOKUP(Izpit1[[#This Row],[Vpisna]],Rezultati[Vpisna],Rezultati[Program])</f>
        <v>MAT</v>
      </c>
      <c r="D92" t="s">
        <v>21</v>
      </c>
      <c r="E92" s="13">
        <v>0.5</v>
      </c>
      <c r="F92" s="3" t="s">
        <v>23</v>
      </c>
      <c r="G92">
        <v>17.5</v>
      </c>
      <c r="H92">
        <v>36</v>
      </c>
      <c r="I92">
        <v>12</v>
      </c>
      <c r="J92">
        <v>30</v>
      </c>
      <c r="K92" s="14">
        <f>SUM(Izpit1[[#This Row],[HTML]:[Mathematica]])</f>
        <v>95.5</v>
      </c>
    </row>
    <row r="93" spans="2:11" x14ac:dyDescent="0.2">
      <c r="B93" s="11">
        <v>27000240</v>
      </c>
      <c r="C93" t="str">
        <f>_xlfn.XLOOKUP(Izpit1[[#This Row],[Vpisna]],Rezultati[Vpisna],Rezultati[Program])</f>
        <v>MAT</v>
      </c>
      <c r="D93" t="s">
        <v>19</v>
      </c>
      <c r="E93" s="13">
        <v>0.5</v>
      </c>
      <c r="F93" s="3" t="s">
        <v>20</v>
      </c>
      <c r="G93">
        <v>20</v>
      </c>
      <c r="H93">
        <v>36</v>
      </c>
      <c r="I93">
        <v>12</v>
      </c>
      <c r="J93">
        <v>30</v>
      </c>
      <c r="K93" s="14">
        <f>SUM(Izpit1[[#This Row],[HTML]:[Mathematica]])</f>
        <v>98</v>
      </c>
    </row>
    <row r="94" spans="2:11" x14ac:dyDescent="0.2">
      <c r="B94" s="11">
        <v>27000245</v>
      </c>
      <c r="C94" t="str">
        <f>_xlfn.XLOOKUP(Izpit1[[#This Row],[Vpisna]],Rezultati[Vpisna],Rezultati[Program])</f>
        <v>MAT</v>
      </c>
      <c r="D94" t="s">
        <v>19</v>
      </c>
      <c r="E94" s="13">
        <v>0.5</v>
      </c>
      <c r="F94" s="3" t="s">
        <v>22</v>
      </c>
      <c r="G94">
        <v>20</v>
      </c>
      <c r="H94">
        <v>35</v>
      </c>
      <c r="I94">
        <v>12</v>
      </c>
      <c r="J94">
        <v>26.5</v>
      </c>
      <c r="K94" s="14">
        <f>SUM(Izpit1[[#This Row],[HTML]:[Mathematica]])</f>
        <v>93.5</v>
      </c>
    </row>
    <row r="95" spans="2:11" x14ac:dyDescent="0.2">
      <c r="B95" s="11">
        <v>27000246</v>
      </c>
      <c r="C95" t="str">
        <f>_xlfn.XLOOKUP(Izpit1[[#This Row],[Vpisna]],Rezultati[Vpisna],Rezultati[Program])</f>
        <v>MAT</v>
      </c>
      <c r="D95" t="s">
        <v>19</v>
      </c>
      <c r="E95" s="13">
        <v>0.5</v>
      </c>
      <c r="F95" s="3" t="s">
        <v>27</v>
      </c>
      <c r="G95">
        <v>18</v>
      </c>
      <c r="H95">
        <v>33</v>
      </c>
      <c r="I95">
        <v>12</v>
      </c>
      <c r="J95">
        <v>32</v>
      </c>
      <c r="K95" s="14">
        <f>SUM(Izpit1[[#This Row],[HTML]:[Mathematica]])</f>
        <v>95</v>
      </c>
    </row>
    <row r="96" spans="2:11" x14ac:dyDescent="0.2">
      <c r="B96" s="11">
        <v>27000247</v>
      </c>
      <c r="C96" t="str">
        <f>_xlfn.XLOOKUP(Izpit1[[#This Row],[Vpisna]],Rezultati[Vpisna],Rezultati[Program])</f>
        <v>MAT</v>
      </c>
      <c r="D96" t="s">
        <v>19</v>
      </c>
      <c r="E96" s="13">
        <v>0.5</v>
      </c>
      <c r="F96" s="3" t="s">
        <v>22</v>
      </c>
      <c r="G96">
        <v>20</v>
      </c>
      <c r="H96">
        <v>35</v>
      </c>
      <c r="I96">
        <v>12</v>
      </c>
      <c r="J96">
        <v>32</v>
      </c>
      <c r="K96" s="14">
        <f>SUM(Izpit1[[#This Row],[HTML]:[Mathematica]])</f>
        <v>99</v>
      </c>
    </row>
    <row r="97" spans="2:11" x14ac:dyDescent="0.2">
      <c r="B97" s="11">
        <v>27000248</v>
      </c>
      <c r="C97" t="str">
        <f>_xlfn.XLOOKUP(Izpit1[[#This Row],[Vpisna]],Rezultati[Vpisna],Rezultati[Program])</f>
        <v>MAT</v>
      </c>
      <c r="D97" t="s">
        <v>19</v>
      </c>
      <c r="E97" s="13">
        <v>0.5</v>
      </c>
      <c r="F97" s="3" t="s">
        <v>22</v>
      </c>
      <c r="G97">
        <v>13.5</v>
      </c>
      <c r="H97">
        <v>18</v>
      </c>
      <c r="I97">
        <v>0</v>
      </c>
      <c r="J97">
        <v>28.5</v>
      </c>
      <c r="K97" s="14">
        <f>SUM(Izpit1[[#This Row],[HTML]:[Mathematica]])</f>
        <v>60</v>
      </c>
    </row>
    <row r="98" spans="2:11" x14ac:dyDescent="0.2">
      <c r="B98" s="11">
        <v>27000249</v>
      </c>
      <c r="C98" t="str">
        <f>_xlfn.XLOOKUP(Izpit1[[#This Row],[Vpisna]],Rezultati[Vpisna],Rezultati[Program])</f>
        <v>MAT</v>
      </c>
      <c r="D98" t="s">
        <v>19</v>
      </c>
      <c r="E98" s="13">
        <v>0.5</v>
      </c>
      <c r="F98" s="3" t="s">
        <v>20</v>
      </c>
      <c r="G98">
        <v>8.5</v>
      </c>
      <c r="H98">
        <v>3</v>
      </c>
      <c r="I98">
        <v>0</v>
      </c>
      <c r="J98">
        <v>0</v>
      </c>
      <c r="K98" s="14">
        <f>SUM(Izpit1[[#This Row],[HTML]:[Mathematica]])</f>
        <v>11.5</v>
      </c>
    </row>
    <row r="99" spans="2:11" x14ac:dyDescent="0.2">
      <c r="B99" s="11">
        <v>27000250</v>
      </c>
      <c r="C99" t="str">
        <f>_xlfn.XLOOKUP(Izpit1[[#This Row],[Vpisna]],Rezultati[Vpisna],Rezultati[Program])</f>
        <v>MAT</v>
      </c>
      <c r="D99" t="s">
        <v>21</v>
      </c>
      <c r="E99" s="13" t="s">
        <v>24</v>
      </c>
      <c r="F99" s="3" t="s">
        <v>20</v>
      </c>
      <c r="G99">
        <v>16</v>
      </c>
      <c r="H99">
        <v>31</v>
      </c>
      <c r="I99">
        <v>7</v>
      </c>
      <c r="J99">
        <v>30</v>
      </c>
      <c r="K99" s="14">
        <f>SUM(Izpit1[[#This Row],[HTML]:[Mathematica]])</f>
        <v>84</v>
      </c>
    </row>
    <row r="100" spans="2:11" x14ac:dyDescent="0.2">
      <c r="B100" s="11">
        <v>27000251</v>
      </c>
      <c r="C100" t="str">
        <f>_xlfn.XLOOKUP(Izpit1[[#This Row],[Vpisna]],Rezultati[Vpisna],Rezultati[Program])</f>
        <v>MAT</v>
      </c>
      <c r="D100" t="s">
        <v>19</v>
      </c>
      <c r="E100" s="13">
        <v>0.5</v>
      </c>
      <c r="F100" s="3" t="s">
        <v>22</v>
      </c>
      <c r="G100">
        <v>19</v>
      </c>
      <c r="H100">
        <v>36</v>
      </c>
      <c r="I100">
        <v>12</v>
      </c>
      <c r="J100">
        <v>32</v>
      </c>
      <c r="K100" s="14">
        <f>SUM(Izpit1[[#This Row],[HTML]:[Mathematica]])</f>
        <v>99</v>
      </c>
    </row>
    <row r="101" spans="2:11" x14ac:dyDescent="0.2">
      <c r="B101" s="11">
        <v>27000254</v>
      </c>
      <c r="C101" t="str">
        <f>_xlfn.XLOOKUP(Izpit1[[#This Row],[Vpisna]],Rezultati[Vpisna],Rezultati[Program])</f>
        <v>MAT</v>
      </c>
      <c r="D101" t="s">
        <v>19</v>
      </c>
      <c r="E101" s="13">
        <v>0.5</v>
      </c>
      <c r="F101" s="3" t="s">
        <v>22</v>
      </c>
      <c r="G101">
        <v>17.5</v>
      </c>
      <c r="H101">
        <v>35</v>
      </c>
      <c r="I101">
        <v>12</v>
      </c>
      <c r="J101">
        <v>32</v>
      </c>
      <c r="K101" s="14">
        <f>SUM(Izpit1[[#This Row],[HTML]:[Mathematica]])</f>
        <v>96.5</v>
      </c>
    </row>
    <row r="102" spans="2:11" x14ac:dyDescent="0.2">
      <c r="B102" s="11">
        <v>27000255</v>
      </c>
      <c r="C102" t="str">
        <f>_xlfn.XLOOKUP(Izpit1[[#This Row],[Vpisna]],Rezultati[Vpisna],Rezultati[Program])</f>
        <v>MAT</v>
      </c>
      <c r="D102" t="s">
        <v>21</v>
      </c>
      <c r="E102" s="13">
        <v>0.5</v>
      </c>
      <c r="F102" s="3" t="s">
        <v>20</v>
      </c>
      <c r="G102">
        <v>18</v>
      </c>
      <c r="H102">
        <v>31</v>
      </c>
      <c r="I102">
        <v>11</v>
      </c>
      <c r="J102">
        <v>27</v>
      </c>
      <c r="K102" s="14">
        <f>SUM(Izpit1[[#This Row],[HTML]:[Mathematica]])</f>
        <v>87</v>
      </c>
    </row>
    <row r="103" spans="2:11" x14ac:dyDescent="0.2">
      <c r="B103" s="11">
        <v>27000257</v>
      </c>
      <c r="C103" t="str">
        <f>_xlfn.XLOOKUP(Izpit1[[#This Row],[Vpisna]],Rezultati[Vpisna],Rezultati[Program])</f>
        <v>MAT</v>
      </c>
      <c r="D103" t="s">
        <v>19</v>
      </c>
      <c r="E103" s="13">
        <v>0.5</v>
      </c>
      <c r="F103" s="3" t="s">
        <v>22</v>
      </c>
      <c r="G103">
        <v>10</v>
      </c>
      <c r="H103">
        <v>15</v>
      </c>
      <c r="I103">
        <v>9</v>
      </c>
      <c r="J103">
        <v>29</v>
      </c>
      <c r="K103" s="14">
        <f>SUM(Izpit1[[#This Row],[HTML]:[Mathematica]])</f>
        <v>63</v>
      </c>
    </row>
    <row r="104" spans="2:11" x14ac:dyDescent="0.2">
      <c r="B104" s="11">
        <v>27000259</v>
      </c>
      <c r="C104" t="str">
        <f>_xlfn.XLOOKUP(Izpit1[[#This Row],[Vpisna]],Rezultati[Vpisna],Rezultati[Program])</f>
        <v>MAT</v>
      </c>
      <c r="D104" t="s">
        <v>19</v>
      </c>
      <c r="E104" s="13">
        <v>0.5</v>
      </c>
      <c r="F104" s="3" t="s">
        <v>22</v>
      </c>
      <c r="G104">
        <v>19.5</v>
      </c>
      <c r="H104">
        <v>14</v>
      </c>
      <c r="I104">
        <v>12</v>
      </c>
      <c r="J104">
        <v>16</v>
      </c>
      <c r="K104" s="14">
        <f>SUM(Izpit1[[#This Row],[HTML]:[Mathematica]])</f>
        <v>61.5</v>
      </c>
    </row>
    <row r="105" spans="2:11" x14ac:dyDescent="0.2">
      <c r="B105" s="11">
        <v>27000261</v>
      </c>
      <c r="C105" t="str">
        <f>_xlfn.XLOOKUP(Izpit1[[#This Row],[Vpisna]],Rezultati[Vpisna],Rezultati[Program])</f>
        <v>MAT</v>
      </c>
      <c r="D105" t="s">
        <v>19</v>
      </c>
      <c r="E105" s="13">
        <v>0.5</v>
      </c>
      <c r="F105" s="3" t="s">
        <v>22</v>
      </c>
      <c r="G105">
        <v>18</v>
      </c>
      <c r="H105">
        <v>30</v>
      </c>
      <c r="I105">
        <v>12</v>
      </c>
      <c r="J105">
        <v>30</v>
      </c>
      <c r="K105" s="14">
        <f>SUM(Izpit1[[#This Row],[HTML]:[Mathematica]])</f>
        <v>90</v>
      </c>
    </row>
    <row r="106" spans="2:11" x14ac:dyDescent="0.2">
      <c r="B106" s="11">
        <v>27000268</v>
      </c>
      <c r="C106" t="str">
        <f>_xlfn.XLOOKUP(Izpit1[[#This Row],[Vpisna]],Rezultati[Vpisna],Rezultati[Program])</f>
        <v>MAT</v>
      </c>
      <c r="D106" t="s">
        <v>21</v>
      </c>
      <c r="E106" s="13">
        <v>0.5</v>
      </c>
      <c r="F106" s="3" t="s">
        <v>20</v>
      </c>
      <c r="G106">
        <v>12.5</v>
      </c>
      <c r="H106">
        <v>15</v>
      </c>
      <c r="I106">
        <v>12</v>
      </c>
      <c r="J106">
        <v>27.5</v>
      </c>
      <c r="K106" s="14">
        <f>SUM(Izpit1[[#This Row],[HTML]:[Mathematica]])</f>
        <v>67</v>
      </c>
    </row>
    <row r="107" spans="2:11" x14ac:dyDescent="0.2">
      <c r="B107" s="11">
        <v>27000270</v>
      </c>
      <c r="C107" t="str">
        <f>_xlfn.XLOOKUP(Izpit1[[#This Row],[Vpisna]],Rezultati[Vpisna],Rezultati[Program])</f>
        <v>MAT</v>
      </c>
      <c r="D107" t="s">
        <v>19</v>
      </c>
      <c r="E107" s="13">
        <v>0.5</v>
      </c>
      <c r="F107" s="3" t="s">
        <v>22</v>
      </c>
      <c r="G107">
        <v>20</v>
      </c>
      <c r="H107">
        <v>36</v>
      </c>
      <c r="I107">
        <v>12</v>
      </c>
      <c r="J107">
        <v>27</v>
      </c>
      <c r="K107" s="14">
        <f>SUM(Izpit1[[#This Row],[HTML]:[Mathematica]])</f>
        <v>95</v>
      </c>
    </row>
    <row r="108" spans="2:11" x14ac:dyDescent="0.2">
      <c r="B108" s="11">
        <v>27000272</v>
      </c>
      <c r="C108" t="str">
        <f>_xlfn.XLOOKUP(Izpit1[[#This Row],[Vpisna]],Rezultati[Vpisna],Rezultati[Program])</f>
        <v>APF</v>
      </c>
      <c r="D108" t="s">
        <v>21</v>
      </c>
      <c r="E108" s="13">
        <v>0.375</v>
      </c>
      <c r="F108" s="3" t="s">
        <v>20</v>
      </c>
      <c r="G108">
        <v>15</v>
      </c>
      <c r="H108">
        <v>0</v>
      </c>
      <c r="I108">
        <v>12</v>
      </c>
      <c r="J108">
        <v>13</v>
      </c>
      <c r="K108" s="14">
        <f>SUM(Izpit1[[#This Row],[HTML]:[Mathematica]])</f>
        <v>40</v>
      </c>
    </row>
    <row r="109" spans="2:11" x14ac:dyDescent="0.2">
      <c r="B109" s="11">
        <v>27000274</v>
      </c>
      <c r="C109" t="str">
        <f>_xlfn.XLOOKUP(Izpit1[[#This Row],[Vpisna]],Rezultati[Vpisna],Rezultati[Program])</f>
        <v>MAT</v>
      </c>
      <c r="D109" t="s">
        <v>21</v>
      </c>
      <c r="E109" s="13">
        <v>0.5</v>
      </c>
      <c r="F109" s="3" t="s">
        <v>20</v>
      </c>
      <c r="G109">
        <v>11.5</v>
      </c>
      <c r="H109">
        <v>22</v>
      </c>
      <c r="I109">
        <v>1</v>
      </c>
      <c r="J109">
        <v>25.5</v>
      </c>
      <c r="K109" s="14">
        <f>SUM(Izpit1[[#This Row],[HTML]:[Mathematica]])</f>
        <v>60</v>
      </c>
    </row>
    <row r="110" spans="2:11" x14ac:dyDescent="0.2">
      <c r="B110" s="11">
        <v>27000276</v>
      </c>
      <c r="C110" t="str">
        <f>_xlfn.XLOOKUP(Izpit1[[#This Row],[Vpisna]],Rezultati[Vpisna],Rezultati[Program])</f>
        <v>MAT</v>
      </c>
      <c r="D110" t="s">
        <v>21</v>
      </c>
      <c r="E110" s="13">
        <v>0.5</v>
      </c>
      <c r="F110" s="3" t="s">
        <v>20</v>
      </c>
      <c r="G110">
        <v>7</v>
      </c>
      <c r="H110">
        <v>20</v>
      </c>
      <c r="I110">
        <v>12</v>
      </c>
      <c r="J110">
        <v>21</v>
      </c>
      <c r="K110" s="14">
        <f>SUM(Izpit1[[#This Row],[HTML]:[Mathematica]])</f>
        <v>60</v>
      </c>
    </row>
    <row r="111" spans="2:11" x14ac:dyDescent="0.2">
      <c r="B111" s="11">
        <v>27000278</v>
      </c>
      <c r="C111" t="str">
        <f>_xlfn.XLOOKUP(Izpit1[[#This Row],[Vpisna]],Rezultati[Vpisna],Rezultati[Program])</f>
        <v>MAT</v>
      </c>
      <c r="D111" t="s">
        <v>21</v>
      </c>
      <c r="E111" s="13">
        <v>0.5</v>
      </c>
      <c r="F111" s="3" t="s">
        <v>23</v>
      </c>
      <c r="G111">
        <v>19</v>
      </c>
      <c r="H111">
        <v>31</v>
      </c>
      <c r="I111">
        <v>12</v>
      </c>
      <c r="J111">
        <v>32</v>
      </c>
      <c r="K111" s="14">
        <f>SUM(Izpit1[[#This Row],[HTML]:[Mathematica]])</f>
        <v>94</v>
      </c>
    </row>
    <row r="112" spans="2:11" x14ac:dyDescent="0.2">
      <c r="B112" s="11">
        <v>27000280</v>
      </c>
      <c r="C112" t="str">
        <f>_xlfn.XLOOKUP(Izpit1[[#This Row],[Vpisna]],Rezultati[Vpisna],Rezultati[Program])</f>
        <v>MAT</v>
      </c>
      <c r="D112" t="s">
        <v>21</v>
      </c>
      <c r="E112" s="13">
        <v>0.5</v>
      </c>
      <c r="F112" s="3" t="s">
        <v>20</v>
      </c>
      <c r="G112">
        <v>18.5</v>
      </c>
      <c r="H112">
        <v>35</v>
      </c>
      <c r="I112">
        <v>12</v>
      </c>
      <c r="J112">
        <v>30</v>
      </c>
      <c r="K112" s="14">
        <f>SUM(Izpit1[[#This Row],[HTML]:[Mathematica]])</f>
        <v>95.5</v>
      </c>
    </row>
    <row r="113" spans="2:11" x14ac:dyDescent="0.2">
      <c r="B113" s="11">
        <v>27000281</v>
      </c>
      <c r="C113" t="str">
        <f>_xlfn.XLOOKUP(Izpit1[[#This Row],[Vpisna]],Rezultati[Vpisna],Rezultati[Program])</f>
        <v>MAT</v>
      </c>
      <c r="D113" t="s">
        <v>19</v>
      </c>
      <c r="E113" s="13">
        <v>0.5</v>
      </c>
      <c r="F113" s="3" t="s">
        <v>22</v>
      </c>
      <c r="G113">
        <v>18.5</v>
      </c>
      <c r="H113">
        <v>32</v>
      </c>
      <c r="I113">
        <v>12</v>
      </c>
      <c r="J113">
        <v>28</v>
      </c>
      <c r="K113" s="14">
        <f>SUM(Izpit1[[#This Row],[HTML]:[Mathematica]])</f>
        <v>90.5</v>
      </c>
    </row>
    <row r="114" spans="2:11" x14ac:dyDescent="0.2">
      <c r="B114" s="11">
        <v>27000286</v>
      </c>
      <c r="C114" t="str">
        <f>_xlfn.XLOOKUP(Izpit1[[#This Row],[Vpisna]],Rezultati[Vpisna],Rezultati[Program])</f>
        <v>MAT</v>
      </c>
      <c r="D114" t="s">
        <v>21</v>
      </c>
      <c r="E114" s="13">
        <v>0.5</v>
      </c>
      <c r="F114" s="3" t="s">
        <v>23</v>
      </c>
      <c r="G114">
        <v>13</v>
      </c>
      <c r="H114">
        <v>22</v>
      </c>
      <c r="I114">
        <v>5</v>
      </c>
      <c r="J114">
        <v>30</v>
      </c>
      <c r="K114" s="14">
        <f>SUM(Izpit1[[#This Row],[HTML]:[Mathematica]])</f>
        <v>70</v>
      </c>
    </row>
    <row r="115" spans="2:11" x14ac:dyDescent="0.2">
      <c r="B115" s="11">
        <v>27000287</v>
      </c>
      <c r="C115" t="str">
        <f>_xlfn.XLOOKUP(Izpit1[[#This Row],[Vpisna]],Rezultati[Vpisna],Rezultati[Program])</f>
        <v>MAT</v>
      </c>
      <c r="D115" t="s">
        <v>19</v>
      </c>
      <c r="E115" s="13">
        <v>0.5</v>
      </c>
      <c r="F115" s="3" t="s">
        <v>22</v>
      </c>
      <c r="G115">
        <v>20</v>
      </c>
      <c r="H115">
        <v>36</v>
      </c>
      <c r="I115">
        <v>12</v>
      </c>
      <c r="J115">
        <v>32</v>
      </c>
      <c r="K115" s="14">
        <f>SUM(Izpit1[[#This Row],[HTML]:[Mathematica]])</f>
        <v>100</v>
      </c>
    </row>
    <row r="116" spans="2:11" x14ac:dyDescent="0.2">
      <c r="B116" s="11">
        <v>27000289</v>
      </c>
      <c r="C116" t="str">
        <f>_xlfn.XLOOKUP(Izpit1[[#This Row],[Vpisna]],Rezultati[Vpisna],Rezultati[Program])</f>
        <v>MAT</v>
      </c>
      <c r="D116" t="s">
        <v>19</v>
      </c>
      <c r="E116" s="13">
        <v>0.5</v>
      </c>
      <c r="F116" s="3" t="s">
        <v>22</v>
      </c>
      <c r="G116">
        <v>20</v>
      </c>
      <c r="H116">
        <v>36</v>
      </c>
      <c r="I116">
        <v>12</v>
      </c>
      <c r="J116">
        <v>32</v>
      </c>
      <c r="K116" s="14">
        <f>SUM(Izpit1[[#This Row],[HTML]:[Mathematica]])</f>
        <v>100</v>
      </c>
    </row>
    <row r="117" spans="2:11" x14ac:dyDescent="0.2">
      <c r="B117" s="11">
        <v>27000290</v>
      </c>
      <c r="C117" t="str">
        <f>_xlfn.XLOOKUP(Izpit1[[#This Row],[Vpisna]],Rezultati[Vpisna],Rezultati[Program])</f>
        <v>MAT</v>
      </c>
      <c r="D117" t="s">
        <v>19</v>
      </c>
      <c r="E117" s="13">
        <v>0.5</v>
      </c>
      <c r="F117" s="3" t="s">
        <v>22</v>
      </c>
      <c r="G117">
        <v>20</v>
      </c>
      <c r="H117">
        <v>32</v>
      </c>
      <c r="I117">
        <v>8</v>
      </c>
      <c r="J117">
        <v>24</v>
      </c>
      <c r="K117" s="14">
        <f>SUM(Izpit1[[#This Row],[HTML]:[Mathematica]])</f>
        <v>84</v>
      </c>
    </row>
    <row r="118" spans="2:11" x14ac:dyDescent="0.2">
      <c r="B118" s="11">
        <v>27000291</v>
      </c>
      <c r="C118" t="str">
        <f>_xlfn.XLOOKUP(Izpit1[[#This Row],[Vpisna]],Rezultati[Vpisna],Rezultati[Program])</f>
        <v>MAT</v>
      </c>
      <c r="D118" t="s">
        <v>19</v>
      </c>
      <c r="E118" s="13">
        <v>0.5</v>
      </c>
      <c r="F118" s="3" t="s">
        <v>22</v>
      </c>
      <c r="G118">
        <v>19</v>
      </c>
      <c r="H118">
        <v>28</v>
      </c>
      <c r="I118">
        <v>12</v>
      </c>
      <c r="J118">
        <v>26.5</v>
      </c>
      <c r="K118" s="14">
        <f>SUM(Izpit1[[#This Row],[HTML]:[Mathematica]])</f>
        <v>85.5</v>
      </c>
    </row>
    <row r="119" spans="2:11" x14ac:dyDescent="0.2">
      <c r="B119" s="11">
        <v>27000294</v>
      </c>
      <c r="C119" t="str">
        <f>_xlfn.XLOOKUP(Izpit1[[#This Row],[Vpisna]],Rezultati[Vpisna],Rezultati[Program])</f>
        <v>MAT</v>
      </c>
      <c r="D119" t="s">
        <v>19</v>
      </c>
      <c r="E119" s="13">
        <v>0.5</v>
      </c>
      <c r="F119" s="3" t="s">
        <v>22</v>
      </c>
      <c r="G119">
        <v>20</v>
      </c>
      <c r="H119">
        <v>36</v>
      </c>
      <c r="I119">
        <v>12</v>
      </c>
      <c r="J119">
        <v>32</v>
      </c>
      <c r="K119" s="14">
        <f>SUM(Izpit1[[#This Row],[HTML]:[Mathematica]])</f>
        <v>100</v>
      </c>
    </row>
    <row r="120" spans="2:11" x14ac:dyDescent="0.2">
      <c r="B120" s="11">
        <v>27000296</v>
      </c>
      <c r="C120" t="str">
        <f>_xlfn.XLOOKUP(Izpit1[[#This Row],[Vpisna]],Rezultati[Vpisna],Rezultati[Program])</f>
        <v>MAT</v>
      </c>
      <c r="D120" t="s">
        <v>21</v>
      </c>
      <c r="E120" s="13">
        <v>0.5</v>
      </c>
      <c r="F120" s="3" t="s">
        <v>23</v>
      </c>
      <c r="G120">
        <v>19</v>
      </c>
      <c r="H120">
        <v>37</v>
      </c>
      <c r="I120">
        <v>12</v>
      </c>
      <c r="J120">
        <v>32</v>
      </c>
      <c r="K120" s="14">
        <f>SUM(Izpit1[[#This Row],[HTML]:[Mathematica]])</f>
        <v>100</v>
      </c>
    </row>
    <row r="121" spans="2:11" x14ac:dyDescent="0.2">
      <c r="B121" s="11">
        <v>27000297</v>
      </c>
      <c r="C121" t="str">
        <f>_xlfn.XLOOKUP(Izpit1[[#This Row],[Vpisna]],Rezultati[Vpisna],Rezultati[Program])</f>
        <v>MAT</v>
      </c>
      <c r="D121" t="s">
        <v>19</v>
      </c>
      <c r="E121" s="13">
        <v>0.5</v>
      </c>
      <c r="F121" s="3" t="s">
        <v>22</v>
      </c>
      <c r="G121">
        <v>18.5</v>
      </c>
      <c r="H121">
        <v>32</v>
      </c>
      <c r="I121">
        <v>12</v>
      </c>
      <c r="J121">
        <v>32</v>
      </c>
      <c r="K121" s="14">
        <f>SUM(Izpit1[[#This Row],[HTML]:[Mathematica]])</f>
        <v>94.5</v>
      </c>
    </row>
    <row r="122" spans="2:11" x14ac:dyDescent="0.2">
      <c r="B122" s="11">
        <v>27000298</v>
      </c>
      <c r="C122" t="str">
        <f>_xlfn.XLOOKUP(Izpit1[[#This Row],[Vpisna]],Rezultati[Vpisna],Rezultati[Program])</f>
        <v>MAT</v>
      </c>
      <c r="D122" t="s">
        <v>21</v>
      </c>
      <c r="E122" s="13">
        <v>0.5</v>
      </c>
      <c r="F122" s="3" t="s">
        <v>23</v>
      </c>
      <c r="G122">
        <v>10.5</v>
      </c>
      <c r="H122">
        <v>17</v>
      </c>
      <c r="I122">
        <v>0</v>
      </c>
      <c r="J122">
        <v>18</v>
      </c>
      <c r="K122" s="14">
        <f>SUM(Izpit1[[#This Row],[HTML]:[Mathematica]])</f>
        <v>45.5</v>
      </c>
    </row>
    <row r="123" spans="2:11" x14ac:dyDescent="0.2">
      <c r="B123" s="11">
        <v>27000301</v>
      </c>
      <c r="C123" t="str">
        <f>_xlfn.XLOOKUP(Izpit1[[#This Row],[Vpisna]],Rezultati[Vpisna],Rezultati[Program])</f>
        <v>MAT</v>
      </c>
      <c r="D123" t="s">
        <v>21</v>
      </c>
      <c r="E123" s="13" t="s">
        <v>24</v>
      </c>
      <c r="F123" s="3" t="s">
        <v>23</v>
      </c>
      <c r="G123">
        <v>0</v>
      </c>
      <c r="H123">
        <v>0</v>
      </c>
      <c r="I123">
        <v>0</v>
      </c>
      <c r="J123">
        <v>0</v>
      </c>
      <c r="K123" s="14">
        <f>SUM(Izpit1[[#This Row],[HTML]:[Mathematica]])</f>
        <v>0</v>
      </c>
    </row>
    <row r="124" spans="2:11" x14ac:dyDescent="0.2">
      <c r="B124" s="11">
        <v>27000302</v>
      </c>
      <c r="C124" t="str">
        <f>_xlfn.XLOOKUP(Izpit1[[#This Row],[Vpisna]],Rezultati[Vpisna],Rezultati[Program])</f>
        <v>MAT</v>
      </c>
      <c r="D124" t="s">
        <v>21</v>
      </c>
      <c r="E124" s="13">
        <v>0.5</v>
      </c>
      <c r="F124" s="3" t="s">
        <v>20</v>
      </c>
      <c r="G124">
        <v>11</v>
      </c>
      <c r="H124">
        <v>17</v>
      </c>
      <c r="I124">
        <v>0</v>
      </c>
      <c r="J124">
        <v>6</v>
      </c>
      <c r="K124" s="14">
        <f>SUM(Izpit1[[#This Row],[HTML]:[Mathematica]])</f>
        <v>34</v>
      </c>
    </row>
    <row r="125" spans="2:11" x14ac:dyDescent="0.2">
      <c r="B125" s="11">
        <v>27000303</v>
      </c>
      <c r="C125" t="str">
        <f>_xlfn.XLOOKUP(Izpit1[[#This Row],[Vpisna]],Rezultati[Vpisna],Rezultati[Program])</f>
        <v>MAT</v>
      </c>
      <c r="D125" t="s">
        <v>21</v>
      </c>
      <c r="E125" s="13">
        <v>0.5</v>
      </c>
      <c r="F125" s="3" t="s">
        <v>20</v>
      </c>
      <c r="G125">
        <v>0</v>
      </c>
      <c r="H125">
        <v>9</v>
      </c>
      <c r="I125">
        <v>4</v>
      </c>
      <c r="J125">
        <v>30</v>
      </c>
      <c r="K125" s="14">
        <f>SUM(Izpit1[[#This Row],[HTML]:[Mathematica]])</f>
        <v>43</v>
      </c>
    </row>
    <row r="126" spans="2:11" x14ac:dyDescent="0.2">
      <c r="B126" s="11">
        <v>27000304</v>
      </c>
      <c r="C126" t="str">
        <f>_xlfn.XLOOKUP(Izpit1[[#This Row],[Vpisna]],Rezultati[Vpisna],Rezultati[Program])</f>
        <v>MAT</v>
      </c>
      <c r="D126" t="s">
        <v>19</v>
      </c>
      <c r="E126" s="13">
        <v>0.5</v>
      </c>
      <c r="F126" s="3" t="s">
        <v>22</v>
      </c>
      <c r="G126">
        <v>0</v>
      </c>
      <c r="H126">
        <v>3</v>
      </c>
      <c r="I126">
        <v>0</v>
      </c>
      <c r="J126">
        <v>0</v>
      </c>
      <c r="K126" s="14">
        <f>SUM(Izpit1[[#This Row],[HTML]:[Mathematica]])</f>
        <v>3</v>
      </c>
    </row>
    <row r="127" spans="2:11" x14ac:dyDescent="0.2">
      <c r="B127" s="11">
        <v>27000307</v>
      </c>
      <c r="C127" t="str">
        <f>_xlfn.XLOOKUP(Izpit1[[#This Row],[Vpisna]],Rezultati[Vpisna],Rezultati[Program])</f>
        <v>PED</v>
      </c>
      <c r="D127" t="s">
        <v>21</v>
      </c>
      <c r="E127" s="13">
        <v>0.5</v>
      </c>
      <c r="F127" s="3" t="s">
        <v>20</v>
      </c>
      <c r="G127">
        <v>14</v>
      </c>
      <c r="H127">
        <v>32</v>
      </c>
      <c r="I127">
        <v>12</v>
      </c>
      <c r="J127">
        <v>29</v>
      </c>
      <c r="K127" s="14">
        <f>SUM(Izpit1[[#This Row],[HTML]:[Mathematica]])</f>
        <v>87</v>
      </c>
    </row>
    <row r="128" spans="2:11" x14ac:dyDescent="0.2">
      <c r="B128" s="11">
        <v>27000308</v>
      </c>
      <c r="C128" t="str">
        <f>_xlfn.XLOOKUP(Izpit1[[#This Row],[Vpisna]],Rezultati[Vpisna],Rezultati[Program])</f>
        <v>PED</v>
      </c>
      <c r="D128" t="s">
        <v>19</v>
      </c>
      <c r="E128" s="13">
        <v>0.5</v>
      </c>
      <c r="F128" s="3" t="s">
        <v>22</v>
      </c>
      <c r="G128">
        <v>20</v>
      </c>
      <c r="H128">
        <v>36</v>
      </c>
      <c r="I128">
        <v>12</v>
      </c>
      <c r="J128">
        <v>31</v>
      </c>
      <c r="K128" s="14">
        <f>SUM(Izpit1[[#This Row],[HTML]:[Mathematica]])</f>
        <v>99</v>
      </c>
    </row>
    <row r="129" spans="2:11" x14ac:dyDescent="0.2">
      <c r="B129" s="11">
        <v>27000309</v>
      </c>
      <c r="C129" t="str">
        <f>_xlfn.XLOOKUP(Izpit1[[#This Row],[Vpisna]],Rezultati[Vpisna],Rezultati[Program])</f>
        <v>PED</v>
      </c>
      <c r="D129" t="s">
        <v>21</v>
      </c>
      <c r="E129" s="13">
        <v>0.5</v>
      </c>
      <c r="F129" s="3" t="s">
        <v>23</v>
      </c>
      <c r="G129">
        <v>16</v>
      </c>
      <c r="H129">
        <v>27</v>
      </c>
      <c r="I129">
        <v>9</v>
      </c>
      <c r="J129">
        <v>28</v>
      </c>
      <c r="K129" s="14">
        <f>SUM(Izpit1[[#This Row],[HTML]:[Mathematica]])</f>
        <v>80</v>
      </c>
    </row>
    <row r="130" spans="2:11" x14ac:dyDescent="0.2">
      <c r="B130" s="11">
        <v>27000310</v>
      </c>
      <c r="C130" t="str">
        <f>_xlfn.XLOOKUP(Izpit1[[#This Row],[Vpisna]],Rezultati[Vpisna],Rezultati[Program])</f>
        <v>PED</v>
      </c>
      <c r="D130" t="s">
        <v>21</v>
      </c>
      <c r="E130" s="13">
        <v>0.5</v>
      </c>
      <c r="F130" s="3" t="s">
        <v>20</v>
      </c>
      <c r="G130">
        <v>17</v>
      </c>
      <c r="H130">
        <v>29</v>
      </c>
      <c r="I130">
        <v>12</v>
      </c>
      <c r="J130">
        <v>22.5</v>
      </c>
      <c r="K130" s="14">
        <f>SUM(Izpit1[[#This Row],[HTML]:[Mathematica]])</f>
        <v>80.5</v>
      </c>
    </row>
    <row r="131" spans="2:11" x14ac:dyDescent="0.2">
      <c r="B131" s="11">
        <v>27000312</v>
      </c>
      <c r="C131" t="str">
        <f>_xlfn.XLOOKUP(Izpit1[[#This Row],[Vpisna]],Rezultati[Vpisna],Rezultati[Program])</f>
        <v>PED</v>
      </c>
      <c r="D131" t="s">
        <v>21</v>
      </c>
      <c r="E131" s="13">
        <v>0.5</v>
      </c>
      <c r="F131" s="3" t="s">
        <v>23</v>
      </c>
      <c r="G131">
        <v>19</v>
      </c>
      <c r="H131">
        <v>30</v>
      </c>
      <c r="I131">
        <v>12</v>
      </c>
      <c r="J131">
        <v>15</v>
      </c>
      <c r="K131" s="14">
        <f>SUM(Izpit1[[#This Row],[HTML]:[Mathematica]])</f>
        <v>76</v>
      </c>
    </row>
    <row r="132" spans="2:11" x14ac:dyDescent="0.2">
      <c r="B132" s="11">
        <v>27000313</v>
      </c>
      <c r="C132" t="str">
        <f>_xlfn.XLOOKUP(Izpit1[[#This Row],[Vpisna]],Rezultati[Vpisna],Rezultati[Program])</f>
        <v>PED</v>
      </c>
      <c r="D132" t="s">
        <v>19</v>
      </c>
      <c r="E132" s="13">
        <v>0.5</v>
      </c>
      <c r="F132" s="3" t="s">
        <v>22</v>
      </c>
      <c r="G132">
        <v>17.5</v>
      </c>
      <c r="H132">
        <v>32</v>
      </c>
      <c r="I132">
        <v>12</v>
      </c>
      <c r="J132">
        <v>25.5</v>
      </c>
      <c r="K132" s="14">
        <f>SUM(Izpit1[[#This Row],[HTML]:[Mathematica]])</f>
        <v>87</v>
      </c>
    </row>
    <row r="133" spans="2:11" x14ac:dyDescent="0.2">
      <c r="B133" s="11">
        <v>27000316</v>
      </c>
      <c r="C133" t="str">
        <f>_xlfn.XLOOKUP(Izpit1[[#This Row],[Vpisna]],Rezultati[Vpisna],Rezultati[Program])</f>
        <v>PED</v>
      </c>
      <c r="D133" t="s">
        <v>21</v>
      </c>
      <c r="E133" s="13">
        <v>0.5</v>
      </c>
      <c r="F133" s="3" t="s">
        <v>20</v>
      </c>
      <c r="G133">
        <v>0</v>
      </c>
      <c r="H133">
        <v>9</v>
      </c>
      <c r="I133">
        <v>9</v>
      </c>
      <c r="J133">
        <v>17.5</v>
      </c>
      <c r="K133" s="14">
        <f>SUM(Izpit1[[#This Row],[HTML]:[Mathematica]])</f>
        <v>35.5</v>
      </c>
    </row>
    <row r="134" spans="2:11" x14ac:dyDescent="0.2">
      <c r="B134" s="11">
        <v>27000317</v>
      </c>
      <c r="C134" t="str">
        <f>_xlfn.XLOOKUP(Izpit1[[#This Row],[Vpisna]],Rezultati[Vpisna],Rezultati[Program])</f>
        <v>PED</v>
      </c>
      <c r="D134" t="s">
        <v>21</v>
      </c>
      <c r="E134" s="13">
        <v>0.5</v>
      </c>
      <c r="F134" s="3" t="s">
        <v>23</v>
      </c>
      <c r="G134">
        <v>19</v>
      </c>
      <c r="H134">
        <v>24</v>
      </c>
      <c r="I134">
        <v>12</v>
      </c>
      <c r="J134">
        <v>15</v>
      </c>
      <c r="K134" s="14">
        <f>SUM(Izpit1[[#This Row],[HTML]:[Mathematica]])</f>
        <v>70</v>
      </c>
    </row>
    <row r="135" spans="2:11" x14ac:dyDescent="0.2">
      <c r="B135" s="11">
        <v>27000318</v>
      </c>
      <c r="C135" t="str">
        <f>_xlfn.XLOOKUP(Izpit1[[#This Row],[Vpisna]],Rezultati[Vpisna],Rezultati[Program])</f>
        <v>PED</v>
      </c>
      <c r="D135" t="s">
        <v>21</v>
      </c>
      <c r="E135" s="13">
        <v>0.5</v>
      </c>
      <c r="F135" s="3" t="s">
        <v>23</v>
      </c>
      <c r="G135">
        <v>8</v>
      </c>
      <c r="H135">
        <v>26</v>
      </c>
      <c r="I135">
        <v>1</v>
      </c>
      <c r="J135">
        <v>0</v>
      </c>
      <c r="K135" s="14">
        <f>SUM(Izpit1[[#This Row],[HTML]:[Mathematica]])</f>
        <v>35</v>
      </c>
    </row>
    <row r="136" spans="2:11" x14ac:dyDescent="0.2">
      <c r="B136" s="11">
        <v>27000319</v>
      </c>
      <c r="C136" t="str">
        <f>_xlfn.XLOOKUP(Izpit1[[#This Row],[Vpisna]],Rezultati[Vpisna],Rezultati[Program])</f>
        <v>PED</v>
      </c>
      <c r="D136" t="s">
        <v>21</v>
      </c>
      <c r="E136" s="13">
        <v>0.5</v>
      </c>
      <c r="F136" s="3" t="s">
        <v>20</v>
      </c>
      <c r="G136">
        <v>6</v>
      </c>
      <c r="H136">
        <v>12</v>
      </c>
      <c r="I136">
        <v>6</v>
      </c>
      <c r="J136">
        <v>0</v>
      </c>
      <c r="K136" s="14">
        <f>SUM(Izpit1[[#This Row],[HTML]:[Mathematica]])</f>
        <v>24</v>
      </c>
    </row>
  </sheetData>
  <phoneticPr fontId="3" type="noConversion"/>
  <pageMargins left="1" right="1" top="1" bottom="1" header="0.5" footer="0.5"/>
  <pageSetup paperSize="9" scale="79" fitToHeight="2" orientation="portrait" horizontalDpi="0" verticalDpi="0"/>
  <legacy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E67A-744F-8545-9B35-2559345BCA7E}">
  <sheetPr>
    <pageSetUpPr fitToPage="1"/>
  </sheetPr>
  <dimension ref="B2:S88"/>
  <sheetViews>
    <sheetView zoomScale="150" zoomScaleNormal="150" workbookViewId="0">
      <selection activeCell="F6" sqref="F6"/>
    </sheetView>
  </sheetViews>
  <sheetFormatPr baseColWidth="10" defaultColWidth="11.5" defaultRowHeight="15" x14ac:dyDescent="0.2"/>
  <cols>
    <col min="1" max="1" width="11.5" bestFit="1" customWidth="1"/>
    <col min="2" max="2" width="10.1640625" bestFit="1" customWidth="1"/>
    <col min="3" max="3" width="9.1640625" bestFit="1" customWidth="1"/>
    <col min="4" max="4" width="12" bestFit="1" customWidth="1"/>
    <col min="5" max="5" width="9.1640625" style="13" bestFit="1" customWidth="1"/>
    <col min="6" max="6" width="9.6640625" bestFit="1" customWidth="1"/>
    <col min="7" max="8" width="8.1640625" bestFit="1" customWidth="1"/>
    <col min="9" max="9" width="7.6640625" bestFit="1" customWidth="1"/>
    <col min="10" max="10" width="14" style="14" bestFit="1" customWidth="1"/>
    <col min="11" max="11" width="8.5" bestFit="1" customWidth="1"/>
    <col min="12" max="12" width="11.5" customWidth="1"/>
    <col min="13" max="13" width="10.6640625" bestFit="1" customWidth="1"/>
    <col min="14" max="14" width="4.1640625" bestFit="1" customWidth="1"/>
    <col min="15" max="15" width="5" bestFit="1" customWidth="1"/>
    <col min="16" max="16" width="5.1640625" bestFit="1" customWidth="1"/>
    <col min="17" max="17" width="4.83203125" bestFit="1" customWidth="1"/>
    <col min="18" max="18" width="4.1640625" bestFit="1" customWidth="1"/>
    <col min="19" max="20" width="10.1640625" bestFit="1" customWidth="1"/>
    <col min="21" max="21" width="12.1640625" bestFit="1" customWidth="1"/>
    <col min="22" max="22" width="10.33203125" bestFit="1" customWidth="1"/>
    <col min="23" max="23" width="12.1640625" bestFit="1" customWidth="1"/>
    <col min="24" max="24" width="14.5" bestFit="1" customWidth="1"/>
    <col min="25" max="25" width="16.5" bestFit="1" customWidth="1"/>
    <col min="26" max="26" width="4.6640625" bestFit="1" customWidth="1"/>
    <col min="27" max="27" width="9" bestFit="1" customWidth="1"/>
    <col min="28" max="28" width="6.6640625" bestFit="1" customWidth="1"/>
    <col min="29" max="30" width="4.6640625" bestFit="1" customWidth="1"/>
    <col min="31" max="31" width="8.33203125" bestFit="1" customWidth="1"/>
    <col min="32" max="32" width="10" bestFit="1" customWidth="1"/>
  </cols>
  <sheetData>
    <row r="2" spans="2:19" x14ac:dyDescent="0.2">
      <c r="B2" t="s">
        <v>29</v>
      </c>
      <c r="C2" t="s">
        <v>14</v>
      </c>
      <c r="D2" t="s">
        <v>41</v>
      </c>
      <c r="E2" s="13" t="s">
        <v>42</v>
      </c>
      <c r="F2" t="s">
        <v>43</v>
      </c>
      <c r="G2" t="s">
        <v>15</v>
      </c>
      <c r="H2" t="s">
        <v>16</v>
      </c>
      <c r="I2" t="s">
        <v>17</v>
      </c>
      <c r="J2" t="s">
        <v>18</v>
      </c>
      <c r="K2" t="s">
        <v>46</v>
      </c>
      <c r="M2" t="s">
        <v>49</v>
      </c>
    </row>
    <row r="3" spans="2:19" x14ac:dyDescent="0.2">
      <c r="B3" s="3">
        <v>27000027</v>
      </c>
      <c r="C3" t="str">
        <f>_xlfn.XLOOKUP(Izpit2[[#This Row],[Vpisna]],Rezultati[Vpisna],Rezultati[Program])</f>
        <v>APF</v>
      </c>
      <c r="D3" t="s">
        <v>21</v>
      </c>
      <c r="E3" s="13">
        <v>0.375</v>
      </c>
      <c r="F3" s="3" t="s">
        <v>23</v>
      </c>
      <c r="G3">
        <v>17</v>
      </c>
      <c r="H3">
        <v>0</v>
      </c>
      <c r="I3">
        <v>12</v>
      </c>
      <c r="J3">
        <v>26</v>
      </c>
      <c r="K3" s="14">
        <f>SUM(Izpit2[[#This Row],[HTML]:[Mathematica]])</f>
        <v>55</v>
      </c>
      <c r="M3" s="4" t="s">
        <v>48</v>
      </c>
      <c r="N3" s="4" t="s">
        <v>25</v>
      </c>
    </row>
    <row r="4" spans="2:19" x14ac:dyDescent="0.2">
      <c r="B4" s="3">
        <v>27000028</v>
      </c>
      <c r="C4" t="str">
        <f>_xlfn.XLOOKUP(Izpit2[[#This Row],[Vpisna]],Rezultati[Vpisna],Rezultati[Program])</f>
        <v>APF</v>
      </c>
      <c r="D4" t="s">
        <v>21</v>
      </c>
      <c r="E4" s="13">
        <v>0.375</v>
      </c>
      <c r="F4" s="3" t="s">
        <v>30</v>
      </c>
      <c r="G4">
        <v>17</v>
      </c>
      <c r="H4">
        <v>35</v>
      </c>
      <c r="I4">
        <v>11</v>
      </c>
      <c r="J4">
        <v>4</v>
      </c>
      <c r="K4" s="14">
        <f>SUM(Izpit2[[#This Row],[HTML]:[Mathematica]])</f>
        <v>67</v>
      </c>
      <c r="M4" s="4" t="s">
        <v>25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26</v>
      </c>
    </row>
    <row r="5" spans="2:19" x14ac:dyDescent="0.2">
      <c r="B5" s="3">
        <v>27000030</v>
      </c>
      <c r="C5" t="str">
        <f>_xlfn.XLOOKUP(Izpit2[[#This Row],[Vpisna]],Rezultati[Vpisna],Rezultati[Program])</f>
        <v>APF</v>
      </c>
      <c r="D5" t="s">
        <v>19</v>
      </c>
      <c r="E5" s="13">
        <v>0.375</v>
      </c>
      <c r="F5" s="3" t="s">
        <v>23</v>
      </c>
      <c r="G5">
        <v>16</v>
      </c>
      <c r="H5">
        <v>11</v>
      </c>
      <c r="I5">
        <v>12</v>
      </c>
      <c r="J5">
        <v>27</v>
      </c>
      <c r="K5" s="14">
        <f>SUM(Izpit2[[#This Row],[HTML]:[Mathematica]])</f>
        <v>66</v>
      </c>
      <c r="M5" s="8">
        <v>0.375</v>
      </c>
      <c r="N5" s="3">
        <v>4</v>
      </c>
      <c r="O5" s="3">
        <v>10</v>
      </c>
      <c r="P5" s="3">
        <v>18</v>
      </c>
      <c r="Q5" s="3">
        <v>6</v>
      </c>
      <c r="R5" s="3">
        <v>2</v>
      </c>
      <c r="S5" s="3">
        <v>40</v>
      </c>
    </row>
    <row r="6" spans="2:19" x14ac:dyDescent="0.2">
      <c r="B6" s="3">
        <v>27000078</v>
      </c>
      <c r="C6" t="str">
        <f>_xlfn.XLOOKUP(Izpit2[[#This Row],[Vpisna]],Rezultati[Vpisna],Rezultati[Program])</f>
        <v>APM</v>
      </c>
      <c r="D6" t="s">
        <v>21</v>
      </c>
      <c r="E6" s="13">
        <v>0.375</v>
      </c>
      <c r="F6" s="3" t="s">
        <v>30</v>
      </c>
      <c r="G6">
        <v>17</v>
      </c>
      <c r="H6">
        <v>17</v>
      </c>
      <c r="I6">
        <v>10</v>
      </c>
      <c r="J6">
        <v>23</v>
      </c>
      <c r="K6" s="14">
        <f>SUM(Izpit2[[#This Row],[HTML]:[Mathematica]])</f>
        <v>67</v>
      </c>
      <c r="M6" s="6" t="s">
        <v>23</v>
      </c>
      <c r="N6" s="3">
        <v>2</v>
      </c>
      <c r="O6" s="3">
        <v>1</v>
      </c>
      <c r="P6" s="3">
        <v>3</v>
      </c>
      <c r="Q6" s="3">
        <v>4</v>
      </c>
      <c r="R6" s="3">
        <v>1</v>
      </c>
      <c r="S6" s="3">
        <v>11</v>
      </c>
    </row>
    <row r="7" spans="2:19" x14ac:dyDescent="0.2">
      <c r="B7" s="3">
        <v>27000079</v>
      </c>
      <c r="C7" t="str">
        <f>_xlfn.XLOOKUP(Izpit2[[#This Row],[Vpisna]],Rezultati[Vpisna],Rezultati[Program])</f>
        <v>APM</v>
      </c>
      <c r="D7" t="s">
        <v>21</v>
      </c>
      <c r="E7" s="13">
        <v>0.375</v>
      </c>
      <c r="F7" s="3" t="s">
        <v>30</v>
      </c>
      <c r="G7">
        <v>14</v>
      </c>
      <c r="H7">
        <v>30</v>
      </c>
      <c r="I7">
        <v>9</v>
      </c>
      <c r="J7">
        <v>21</v>
      </c>
      <c r="K7" s="14">
        <f>SUM(Izpit2[[#This Row],[HTML]:[Mathematica]])</f>
        <v>74</v>
      </c>
      <c r="M7" s="6" t="s">
        <v>22</v>
      </c>
      <c r="N7" s="3"/>
      <c r="O7" s="3">
        <v>4</v>
      </c>
      <c r="P7" s="3">
        <v>8</v>
      </c>
      <c r="Q7" s="3">
        <v>2</v>
      </c>
      <c r="R7" s="3">
        <v>1</v>
      </c>
      <c r="S7" s="3">
        <v>15</v>
      </c>
    </row>
    <row r="8" spans="2:19" x14ac:dyDescent="0.2">
      <c r="B8" s="3">
        <v>27000080</v>
      </c>
      <c r="C8" t="str">
        <f>_xlfn.XLOOKUP(Izpit2[[#This Row],[Vpisna]],Rezultati[Vpisna],Rezultati[Program])</f>
        <v>APM</v>
      </c>
      <c r="D8" t="s">
        <v>21</v>
      </c>
      <c r="E8" s="13">
        <v>0.375</v>
      </c>
      <c r="F8" s="3" t="s">
        <v>30</v>
      </c>
      <c r="G8">
        <v>17</v>
      </c>
      <c r="H8">
        <v>0</v>
      </c>
      <c r="I8">
        <v>7</v>
      </c>
      <c r="J8">
        <v>23</v>
      </c>
      <c r="K8" s="14">
        <f>SUM(Izpit2[[#This Row],[HTML]:[Mathematica]])</f>
        <v>47</v>
      </c>
      <c r="M8" s="6" t="s">
        <v>30</v>
      </c>
      <c r="N8" s="3">
        <v>2</v>
      </c>
      <c r="O8" s="3">
        <v>5</v>
      </c>
      <c r="P8" s="3">
        <v>5</v>
      </c>
      <c r="Q8" s="3"/>
      <c r="R8" s="3"/>
      <c r="S8" s="3">
        <v>12</v>
      </c>
    </row>
    <row r="9" spans="2:19" x14ac:dyDescent="0.2">
      <c r="B9" s="3">
        <v>27000081</v>
      </c>
      <c r="C9" t="str">
        <f>_xlfn.XLOOKUP(Izpit2[[#This Row],[Vpisna]],Rezultati[Vpisna],Rezultati[Program])</f>
        <v>APM</v>
      </c>
      <c r="D9" t="s">
        <v>21</v>
      </c>
      <c r="E9" s="13">
        <v>0.375</v>
      </c>
      <c r="F9" s="3" t="s">
        <v>30</v>
      </c>
      <c r="G9">
        <v>13</v>
      </c>
      <c r="H9">
        <v>36</v>
      </c>
      <c r="I9">
        <v>0</v>
      </c>
      <c r="J9">
        <v>23</v>
      </c>
      <c r="K9" s="14">
        <f>SUM(Izpit2[[#This Row],[HTML]:[Mathematica]])</f>
        <v>72</v>
      </c>
      <c r="M9" s="6" t="s">
        <v>24</v>
      </c>
      <c r="N9" s="3"/>
      <c r="O9" s="3"/>
      <c r="P9" s="3">
        <v>2</v>
      </c>
      <c r="Q9" s="3"/>
      <c r="R9" s="3"/>
      <c r="S9" s="3">
        <v>2</v>
      </c>
    </row>
    <row r="10" spans="2:19" x14ac:dyDescent="0.2">
      <c r="B10" s="3">
        <v>27000082</v>
      </c>
      <c r="C10" t="str">
        <f>_xlfn.XLOOKUP(Izpit2[[#This Row],[Vpisna]],Rezultati[Vpisna],Rezultati[Program])</f>
        <v>APM</v>
      </c>
      <c r="D10" t="s">
        <v>21</v>
      </c>
      <c r="E10" s="13">
        <v>0.375</v>
      </c>
      <c r="F10" s="3" t="s">
        <v>23</v>
      </c>
      <c r="G10">
        <v>2</v>
      </c>
      <c r="H10">
        <v>16</v>
      </c>
      <c r="I10">
        <v>0</v>
      </c>
      <c r="J10">
        <v>27</v>
      </c>
      <c r="K10" s="14">
        <f>SUM(Izpit2[[#This Row],[HTML]:[Mathematica]])</f>
        <v>45</v>
      </c>
      <c r="M10" s="5" t="s">
        <v>26</v>
      </c>
      <c r="N10" s="3">
        <v>4</v>
      </c>
      <c r="O10" s="3">
        <v>10</v>
      </c>
      <c r="P10" s="3">
        <v>18</v>
      </c>
      <c r="Q10" s="3">
        <v>6</v>
      </c>
      <c r="R10" s="3">
        <v>2</v>
      </c>
      <c r="S10" s="3">
        <v>40</v>
      </c>
    </row>
    <row r="11" spans="2:19" x14ac:dyDescent="0.2">
      <c r="B11" s="3">
        <v>27000083</v>
      </c>
      <c r="C11" t="str">
        <f>_xlfn.XLOOKUP(Izpit2[[#This Row],[Vpisna]],Rezultati[Vpisna],Rezultati[Program])</f>
        <v>APM</v>
      </c>
      <c r="D11" t="s">
        <v>21</v>
      </c>
      <c r="E11" s="13">
        <v>0.375</v>
      </c>
      <c r="F11" s="3" t="s">
        <v>30</v>
      </c>
      <c r="G11">
        <v>17</v>
      </c>
      <c r="H11">
        <v>15</v>
      </c>
      <c r="I11">
        <v>9</v>
      </c>
      <c r="J11">
        <v>0</v>
      </c>
      <c r="K11" s="14">
        <f>SUM(Izpit2[[#This Row],[HTML]:[Mathematica]])</f>
        <v>41</v>
      </c>
      <c r="O11" s="3"/>
    </row>
    <row r="12" spans="2:19" x14ac:dyDescent="0.2">
      <c r="B12" s="3">
        <v>27000084</v>
      </c>
      <c r="C12" t="str">
        <f>_xlfn.XLOOKUP(Izpit2[[#This Row],[Vpisna]],Rezultati[Vpisna],Rezultati[Program])</f>
        <v>APM</v>
      </c>
      <c r="D12" t="s">
        <v>19</v>
      </c>
      <c r="E12" s="13">
        <v>0.375</v>
      </c>
      <c r="F12" s="3" t="s">
        <v>22</v>
      </c>
      <c r="G12">
        <v>15</v>
      </c>
      <c r="H12">
        <v>26</v>
      </c>
      <c r="I12">
        <v>6</v>
      </c>
      <c r="J12">
        <v>0</v>
      </c>
      <c r="K12" s="14">
        <f>SUM(Izpit2[[#This Row],[HTML]:[Mathematica]])</f>
        <v>47</v>
      </c>
      <c r="M12" s="6" t="s">
        <v>50</v>
      </c>
      <c r="O12" s="3"/>
    </row>
    <row r="13" spans="2:19" x14ac:dyDescent="0.2">
      <c r="B13" s="3">
        <v>27000085</v>
      </c>
      <c r="C13" t="str">
        <f>_xlfn.XLOOKUP(Izpit2[[#This Row],[Vpisna]],Rezultati[Vpisna],Rezultati[Program])</f>
        <v>APM</v>
      </c>
      <c r="D13" t="s">
        <v>19</v>
      </c>
      <c r="E13" s="13">
        <v>0.375</v>
      </c>
      <c r="F13" s="3" t="s">
        <v>22</v>
      </c>
      <c r="G13">
        <v>19</v>
      </c>
      <c r="H13">
        <v>23</v>
      </c>
      <c r="I13">
        <v>0</v>
      </c>
      <c r="J13">
        <v>25</v>
      </c>
      <c r="K13" s="14">
        <f>SUM(Izpit2[[#This Row],[HTML]:[Mathematica]])</f>
        <v>67</v>
      </c>
      <c r="M13" s="4" t="s">
        <v>48</v>
      </c>
      <c r="N13" s="4" t="s">
        <v>25</v>
      </c>
    </row>
    <row r="14" spans="2:19" x14ac:dyDescent="0.2">
      <c r="B14" s="3">
        <v>27000086</v>
      </c>
      <c r="C14" t="str">
        <f>_xlfn.XLOOKUP(Izpit2[[#This Row],[Vpisna]],Rezultati[Vpisna],Rezultati[Program])</f>
        <v>APM</v>
      </c>
      <c r="D14" t="s">
        <v>19</v>
      </c>
      <c r="E14" s="13">
        <v>0.375</v>
      </c>
      <c r="F14" s="3" t="s">
        <v>22</v>
      </c>
      <c r="G14">
        <v>18</v>
      </c>
      <c r="H14">
        <v>9</v>
      </c>
      <c r="I14">
        <v>9</v>
      </c>
      <c r="J14">
        <v>28</v>
      </c>
      <c r="K14" s="14">
        <f>SUM(Izpit2[[#This Row],[HTML]:[Mathematica]])</f>
        <v>64</v>
      </c>
      <c r="M14" s="4" t="s">
        <v>25</v>
      </c>
      <c r="N14" t="s">
        <v>9</v>
      </c>
      <c r="O14" t="s">
        <v>10</v>
      </c>
      <c r="P14" t="s">
        <v>11</v>
      </c>
      <c r="Q14" t="s">
        <v>12</v>
      </c>
      <c r="R14" t="s">
        <v>13</v>
      </c>
      <c r="S14" t="s">
        <v>26</v>
      </c>
    </row>
    <row r="15" spans="2:19" x14ac:dyDescent="0.2">
      <c r="B15" s="3">
        <v>27000087</v>
      </c>
      <c r="C15" t="str">
        <f>_xlfn.XLOOKUP(Izpit2[[#This Row],[Vpisna]],Rezultati[Vpisna],Rezultati[Program])</f>
        <v>APM</v>
      </c>
      <c r="D15" t="s">
        <v>19</v>
      </c>
      <c r="E15" s="13">
        <v>0.375</v>
      </c>
      <c r="F15" s="3" t="s">
        <v>22</v>
      </c>
      <c r="G15">
        <v>19</v>
      </c>
      <c r="H15">
        <v>9</v>
      </c>
      <c r="I15">
        <v>11</v>
      </c>
      <c r="J15">
        <v>26</v>
      </c>
      <c r="K15" s="14">
        <f>SUM(Izpit2[[#This Row],[HTML]:[Mathematica]])</f>
        <v>65</v>
      </c>
      <c r="M15" s="5" t="s">
        <v>21</v>
      </c>
      <c r="N15" s="3">
        <v>3</v>
      </c>
      <c r="O15" s="3">
        <v>6</v>
      </c>
      <c r="P15" s="3">
        <v>7</v>
      </c>
      <c r="Q15" s="3">
        <v>4</v>
      </c>
      <c r="R15" s="3">
        <v>1</v>
      </c>
      <c r="S15" s="3">
        <v>21</v>
      </c>
    </row>
    <row r="16" spans="2:19" x14ac:dyDescent="0.2">
      <c r="B16" s="3">
        <v>27000191</v>
      </c>
      <c r="C16" t="str">
        <f>_xlfn.XLOOKUP(Izpit2[[#This Row],[Vpisna]],Rezultati[Vpisna],Rezultati[Program])</f>
        <v>FIN</v>
      </c>
      <c r="D16" t="s">
        <v>21</v>
      </c>
      <c r="E16" s="13">
        <v>0.375</v>
      </c>
      <c r="F16" s="3" t="s">
        <v>30</v>
      </c>
      <c r="G16">
        <v>19</v>
      </c>
      <c r="H16">
        <v>14</v>
      </c>
      <c r="I16">
        <v>12</v>
      </c>
      <c r="J16">
        <v>15</v>
      </c>
      <c r="K16" s="14">
        <f>SUM(Izpit2[[#This Row],[HTML]:[Mathematica]])</f>
        <v>60</v>
      </c>
      <c r="M16" s="5" t="s">
        <v>19</v>
      </c>
      <c r="N16" s="3">
        <v>1</v>
      </c>
      <c r="O16" s="3">
        <v>4</v>
      </c>
      <c r="P16" s="3">
        <v>11</v>
      </c>
      <c r="Q16" s="3">
        <v>2</v>
      </c>
      <c r="R16" s="3">
        <v>1</v>
      </c>
      <c r="S16" s="3">
        <v>19</v>
      </c>
    </row>
    <row r="17" spans="2:19" x14ac:dyDescent="0.2">
      <c r="B17" s="3">
        <v>27000192</v>
      </c>
      <c r="C17" t="str">
        <f>_xlfn.XLOOKUP(Izpit2[[#This Row],[Vpisna]],Rezultati[Vpisna],Rezultati[Program])</f>
        <v>FIN</v>
      </c>
      <c r="D17" t="s">
        <v>21</v>
      </c>
      <c r="E17" s="13">
        <v>0.375</v>
      </c>
      <c r="F17" s="3" t="s">
        <v>30</v>
      </c>
      <c r="G17">
        <v>19</v>
      </c>
      <c r="H17">
        <v>22</v>
      </c>
      <c r="I17">
        <v>5</v>
      </c>
      <c r="J17">
        <v>24</v>
      </c>
      <c r="K17" s="14">
        <f>SUM(Izpit2[[#This Row],[HTML]:[Mathematica]])</f>
        <v>70</v>
      </c>
      <c r="M17" s="5" t="s">
        <v>26</v>
      </c>
      <c r="N17" s="3">
        <v>4</v>
      </c>
      <c r="O17" s="3">
        <v>10</v>
      </c>
      <c r="P17" s="3">
        <v>18</v>
      </c>
      <c r="Q17" s="3">
        <v>6</v>
      </c>
      <c r="R17" s="3">
        <v>2</v>
      </c>
      <c r="S17" s="3">
        <v>40</v>
      </c>
    </row>
    <row r="18" spans="2:19" x14ac:dyDescent="0.2">
      <c r="B18" s="3">
        <v>27000193</v>
      </c>
      <c r="C18" t="str">
        <f>_xlfn.XLOOKUP(Izpit2[[#This Row],[Vpisna]],Rezultati[Vpisna],Rezultati[Program])</f>
        <v>FIN</v>
      </c>
      <c r="D18" t="s">
        <v>21</v>
      </c>
      <c r="E18" s="13">
        <v>0.375</v>
      </c>
      <c r="F18" s="3" t="s">
        <v>30</v>
      </c>
      <c r="G18">
        <v>17</v>
      </c>
      <c r="H18">
        <v>16</v>
      </c>
      <c r="I18">
        <v>12</v>
      </c>
      <c r="J18">
        <v>10</v>
      </c>
      <c r="K18" s="14">
        <f>SUM(Izpit2[[#This Row],[HTML]:[Mathematica]])</f>
        <v>55</v>
      </c>
    </row>
    <row r="19" spans="2:19" x14ac:dyDescent="0.2">
      <c r="B19" s="3">
        <v>27000194</v>
      </c>
      <c r="C19" t="str">
        <f>_xlfn.XLOOKUP(Izpit2[[#This Row],[Vpisna]],Rezultati[Vpisna],Rezultati[Program])</f>
        <v>FIN</v>
      </c>
      <c r="D19" t="s">
        <v>21</v>
      </c>
      <c r="E19" s="13">
        <v>0.375</v>
      </c>
      <c r="F19" s="3" t="s">
        <v>30</v>
      </c>
      <c r="G19">
        <v>15</v>
      </c>
      <c r="H19">
        <v>24</v>
      </c>
      <c r="I19">
        <v>10</v>
      </c>
      <c r="J19">
        <v>21</v>
      </c>
      <c r="K19" s="14">
        <f>SUM(Izpit2[[#This Row],[HTML]:[Mathematica]])</f>
        <v>70</v>
      </c>
      <c r="M19" s="5" t="s">
        <v>51</v>
      </c>
    </row>
    <row r="20" spans="2:19" x14ac:dyDescent="0.2">
      <c r="B20" s="3">
        <v>27000195</v>
      </c>
      <c r="C20" t="str">
        <f>_xlfn.XLOOKUP(Izpit2[[#This Row],[Vpisna]],Rezultati[Vpisna],Rezultati[Program])</f>
        <v>FIN</v>
      </c>
      <c r="D20" t="s">
        <v>21</v>
      </c>
      <c r="E20" s="13">
        <v>0.375</v>
      </c>
      <c r="F20" s="3" t="s">
        <v>30</v>
      </c>
      <c r="G20">
        <v>19</v>
      </c>
      <c r="H20">
        <v>29</v>
      </c>
      <c r="I20">
        <v>12</v>
      </c>
      <c r="J20">
        <v>21</v>
      </c>
      <c r="K20" s="14">
        <f>SUM(Izpit2[[#This Row],[HTML]:[Mathematica]])</f>
        <v>81</v>
      </c>
      <c r="M20" s="4" t="s">
        <v>48</v>
      </c>
      <c r="N20" s="4" t="s">
        <v>25</v>
      </c>
    </row>
    <row r="21" spans="2:19" x14ac:dyDescent="0.2">
      <c r="B21" s="3">
        <v>27000196</v>
      </c>
      <c r="C21" t="str">
        <f>_xlfn.XLOOKUP(Izpit2[[#This Row],[Vpisna]],Rezultati[Vpisna],Rezultati[Program])</f>
        <v>FIN</v>
      </c>
      <c r="D21" t="s">
        <v>21</v>
      </c>
      <c r="E21" s="13">
        <v>0.375</v>
      </c>
      <c r="F21" s="3" t="s">
        <v>24</v>
      </c>
      <c r="G21">
        <v>0</v>
      </c>
      <c r="H21">
        <v>0</v>
      </c>
      <c r="I21">
        <v>0</v>
      </c>
      <c r="J21">
        <v>0</v>
      </c>
      <c r="K21" s="14">
        <f>SUM(Izpit2[[#This Row],[HTML]:[Mathematica]])</f>
        <v>0</v>
      </c>
      <c r="M21" s="4" t="s">
        <v>25</v>
      </c>
      <c r="N21" t="s">
        <v>9</v>
      </c>
      <c r="O21" t="s">
        <v>10</v>
      </c>
      <c r="P21" t="s">
        <v>11</v>
      </c>
      <c r="Q21" t="s">
        <v>12</v>
      </c>
      <c r="R21" t="s">
        <v>13</v>
      </c>
      <c r="S21" t="s">
        <v>26</v>
      </c>
    </row>
    <row r="22" spans="2:19" x14ac:dyDescent="0.2">
      <c r="B22" s="3">
        <v>27000197</v>
      </c>
      <c r="C22" t="str">
        <f>_xlfn.XLOOKUP(Izpit2[[#This Row],[Vpisna]],Rezultati[Vpisna],Rezultati[Program])</f>
        <v>FIN</v>
      </c>
      <c r="D22" t="s">
        <v>21</v>
      </c>
      <c r="E22" s="13">
        <v>0.375</v>
      </c>
      <c r="F22" s="3" t="s">
        <v>23</v>
      </c>
      <c r="G22">
        <v>0</v>
      </c>
      <c r="H22">
        <v>0</v>
      </c>
      <c r="I22">
        <v>0</v>
      </c>
      <c r="J22">
        <v>0</v>
      </c>
      <c r="K22" s="14">
        <f>SUM(Izpit2[[#This Row],[HTML]:[Mathematica]])</f>
        <v>0</v>
      </c>
      <c r="M22" s="13">
        <v>0.375</v>
      </c>
      <c r="N22" s="3">
        <v>4</v>
      </c>
      <c r="O22" s="3">
        <v>10</v>
      </c>
      <c r="P22" s="3">
        <v>18</v>
      </c>
      <c r="Q22" s="3">
        <v>6</v>
      </c>
      <c r="R22" s="3">
        <v>2</v>
      </c>
      <c r="S22" s="3">
        <v>40</v>
      </c>
    </row>
    <row r="23" spans="2:19" x14ac:dyDescent="0.2">
      <c r="B23" s="3">
        <v>27000198</v>
      </c>
      <c r="C23" t="str">
        <f>_xlfn.XLOOKUP(Izpit2[[#This Row],[Vpisna]],Rezultati[Vpisna],Rezultati[Program])</f>
        <v>FIN</v>
      </c>
      <c r="D23" t="s">
        <v>19</v>
      </c>
      <c r="E23" s="13">
        <v>0.375</v>
      </c>
      <c r="F23" s="3" t="s">
        <v>23</v>
      </c>
      <c r="G23">
        <v>20</v>
      </c>
      <c r="H23">
        <v>35</v>
      </c>
      <c r="I23">
        <v>12</v>
      </c>
      <c r="J23">
        <v>26</v>
      </c>
      <c r="K23" s="14">
        <f>SUM(Izpit2[[#This Row],[HTML]:[Mathematica]])</f>
        <v>93</v>
      </c>
      <c r="M23" t="s">
        <v>23</v>
      </c>
      <c r="N23" s="3">
        <v>2</v>
      </c>
      <c r="O23" s="3">
        <v>1</v>
      </c>
      <c r="P23" s="3">
        <v>3</v>
      </c>
      <c r="Q23" s="3">
        <v>4</v>
      </c>
      <c r="R23" s="3">
        <v>1</v>
      </c>
      <c r="S23" s="3">
        <v>11</v>
      </c>
    </row>
    <row r="24" spans="2:19" x14ac:dyDescent="0.2">
      <c r="B24" s="3">
        <v>27000199</v>
      </c>
      <c r="C24" t="str">
        <f>_xlfn.XLOOKUP(Izpit2[[#This Row],[Vpisna]],Rezultati[Vpisna],Rezultati[Program])</f>
        <v>FIN</v>
      </c>
      <c r="D24" t="s">
        <v>19</v>
      </c>
      <c r="E24" s="13">
        <v>0.375</v>
      </c>
      <c r="F24" s="3" t="s">
        <v>22</v>
      </c>
      <c r="G24">
        <v>12</v>
      </c>
      <c r="H24">
        <v>14</v>
      </c>
      <c r="I24">
        <v>10</v>
      </c>
      <c r="J24">
        <v>25</v>
      </c>
      <c r="K24" s="14">
        <f>SUM(Izpit2[[#This Row],[HTML]:[Mathematica]])</f>
        <v>61</v>
      </c>
      <c r="M24" t="s">
        <v>21</v>
      </c>
      <c r="N24" s="3">
        <v>1</v>
      </c>
      <c r="O24" s="3">
        <v>1</v>
      </c>
      <c r="P24" s="3">
        <v>1</v>
      </c>
      <c r="Q24" s="3">
        <v>4</v>
      </c>
      <c r="R24" s="3">
        <v>1</v>
      </c>
      <c r="S24" s="3">
        <v>8</v>
      </c>
    </row>
    <row r="25" spans="2:19" x14ac:dyDescent="0.2">
      <c r="B25" s="3">
        <v>27000200</v>
      </c>
      <c r="C25" t="str">
        <f>_xlfn.XLOOKUP(Izpit2[[#This Row],[Vpisna]],Rezultati[Vpisna],Rezultati[Program])</f>
        <v>FIN</v>
      </c>
      <c r="D25" t="s">
        <v>19</v>
      </c>
      <c r="E25" s="13">
        <v>0.375</v>
      </c>
      <c r="F25" s="3" t="s">
        <v>22</v>
      </c>
      <c r="G25">
        <v>10</v>
      </c>
      <c r="H25">
        <v>22</v>
      </c>
      <c r="I25">
        <v>10</v>
      </c>
      <c r="J25">
        <v>0</v>
      </c>
      <c r="K25" s="14">
        <f>SUM(Izpit2[[#This Row],[HTML]:[Mathematica]])</f>
        <v>42</v>
      </c>
      <c r="M25" t="s">
        <v>19</v>
      </c>
      <c r="N25" s="3">
        <v>1</v>
      </c>
      <c r="O25" s="3"/>
      <c r="P25" s="3">
        <v>2</v>
      </c>
      <c r="Q25" s="3"/>
      <c r="R25" s="3"/>
      <c r="S25" s="3">
        <v>3</v>
      </c>
    </row>
    <row r="26" spans="2:19" x14ac:dyDescent="0.2">
      <c r="B26" s="3">
        <v>27000201</v>
      </c>
      <c r="C26" t="str">
        <f>_xlfn.XLOOKUP(Izpit2[[#This Row],[Vpisna]],Rezultati[Vpisna],Rezultati[Program])</f>
        <v>FIN</v>
      </c>
      <c r="D26" t="s">
        <v>19</v>
      </c>
      <c r="E26" s="13">
        <v>0.375</v>
      </c>
      <c r="F26" s="3" t="s">
        <v>22</v>
      </c>
      <c r="G26">
        <v>14</v>
      </c>
      <c r="H26">
        <v>20</v>
      </c>
      <c r="I26">
        <v>0</v>
      </c>
      <c r="J26">
        <v>30</v>
      </c>
      <c r="K26" s="14">
        <f>SUM(Izpit2[[#This Row],[HTML]:[Mathematica]])</f>
        <v>64</v>
      </c>
      <c r="M26" t="s">
        <v>22</v>
      </c>
      <c r="N26" s="3"/>
      <c r="O26" s="3">
        <v>4</v>
      </c>
      <c r="P26" s="3">
        <v>8</v>
      </c>
      <c r="Q26" s="3">
        <v>2</v>
      </c>
      <c r="R26" s="3">
        <v>1</v>
      </c>
      <c r="S26" s="3">
        <v>15</v>
      </c>
    </row>
    <row r="27" spans="2:19" x14ac:dyDescent="0.2">
      <c r="B27" s="3">
        <v>27000202</v>
      </c>
      <c r="C27" t="str">
        <f>_xlfn.XLOOKUP(Izpit2[[#This Row],[Vpisna]],Rezultati[Vpisna],Rezultati[Program])</f>
        <v>FIN</v>
      </c>
      <c r="D27" t="s">
        <v>19</v>
      </c>
      <c r="E27" s="13">
        <v>0.375</v>
      </c>
      <c r="F27" s="3" t="s">
        <v>22</v>
      </c>
      <c r="G27">
        <v>18</v>
      </c>
      <c r="H27">
        <v>31</v>
      </c>
      <c r="I27">
        <v>0</v>
      </c>
      <c r="J27">
        <v>28</v>
      </c>
      <c r="K27" s="14">
        <f>SUM(Izpit2[[#This Row],[HTML]:[Mathematica]])</f>
        <v>77</v>
      </c>
      <c r="M27" t="s">
        <v>19</v>
      </c>
      <c r="N27" s="3"/>
      <c r="O27" s="3">
        <v>4</v>
      </c>
      <c r="P27" s="3">
        <v>8</v>
      </c>
      <c r="Q27" s="3">
        <v>2</v>
      </c>
      <c r="R27" s="3">
        <v>1</v>
      </c>
      <c r="S27" s="3">
        <v>15</v>
      </c>
    </row>
    <row r="28" spans="2:19" x14ac:dyDescent="0.2">
      <c r="B28" s="3">
        <v>27000203</v>
      </c>
      <c r="C28" t="str">
        <f>_xlfn.XLOOKUP(Izpit2[[#This Row],[Vpisna]],Rezultati[Vpisna],Rezultati[Program])</f>
        <v>FIN</v>
      </c>
      <c r="D28" t="s">
        <v>19</v>
      </c>
      <c r="E28" s="13">
        <v>0.375</v>
      </c>
      <c r="F28" s="3" t="s">
        <v>22</v>
      </c>
      <c r="G28">
        <v>14</v>
      </c>
      <c r="H28">
        <v>26</v>
      </c>
      <c r="I28">
        <v>12</v>
      </c>
      <c r="J28">
        <v>20</v>
      </c>
      <c r="K28" s="14">
        <f>SUM(Izpit2[[#This Row],[HTML]:[Mathematica]])</f>
        <v>72</v>
      </c>
      <c r="M28" t="s">
        <v>30</v>
      </c>
      <c r="N28" s="3">
        <v>2</v>
      </c>
      <c r="O28" s="3">
        <v>5</v>
      </c>
      <c r="P28" s="3">
        <v>5</v>
      </c>
      <c r="Q28" s="3"/>
      <c r="R28" s="3"/>
      <c r="S28" s="3">
        <v>12</v>
      </c>
    </row>
    <row r="29" spans="2:19" x14ac:dyDescent="0.2">
      <c r="B29" s="3">
        <v>27000204</v>
      </c>
      <c r="C29" t="str">
        <f>_xlfn.XLOOKUP(Izpit2[[#This Row],[Vpisna]],Rezultati[Vpisna],Rezultati[Program])</f>
        <v>FIN</v>
      </c>
      <c r="D29" t="s">
        <v>19</v>
      </c>
      <c r="E29" s="13">
        <v>0.375</v>
      </c>
      <c r="F29" s="3" t="s">
        <v>23</v>
      </c>
      <c r="G29">
        <v>15</v>
      </c>
      <c r="H29">
        <v>23</v>
      </c>
      <c r="I29">
        <v>0</v>
      </c>
      <c r="J29">
        <v>23</v>
      </c>
      <c r="K29" s="14">
        <f>SUM(Izpit2[[#This Row],[HTML]:[Mathematica]])</f>
        <v>61</v>
      </c>
      <c r="M29" t="s">
        <v>21</v>
      </c>
      <c r="N29" s="3">
        <v>2</v>
      </c>
      <c r="O29" s="3">
        <v>5</v>
      </c>
      <c r="P29" s="3">
        <v>5</v>
      </c>
      <c r="Q29" s="3"/>
      <c r="R29" s="3"/>
      <c r="S29" s="3">
        <v>12</v>
      </c>
    </row>
    <row r="30" spans="2:19" x14ac:dyDescent="0.2">
      <c r="B30" s="3">
        <v>27000205</v>
      </c>
      <c r="C30" t="str">
        <f>_xlfn.XLOOKUP(Izpit2[[#This Row],[Vpisna]],Rezultati[Vpisna],Rezultati[Program])</f>
        <v>FIN</v>
      </c>
      <c r="D30" t="s">
        <v>19</v>
      </c>
      <c r="E30" s="13">
        <v>0.375</v>
      </c>
      <c r="F30" s="3" t="s">
        <v>22</v>
      </c>
      <c r="G30">
        <v>17</v>
      </c>
      <c r="H30">
        <v>15</v>
      </c>
      <c r="I30">
        <v>8</v>
      </c>
      <c r="J30">
        <v>22</v>
      </c>
      <c r="K30" s="14">
        <f>SUM(Izpit2[[#This Row],[HTML]:[Mathematica]])</f>
        <v>62</v>
      </c>
      <c r="M30" t="s">
        <v>24</v>
      </c>
      <c r="N30" s="3"/>
      <c r="O30" s="3"/>
      <c r="P30" s="3">
        <v>2</v>
      </c>
      <c r="Q30" s="3"/>
      <c r="R30" s="3"/>
      <c r="S30" s="3">
        <v>2</v>
      </c>
    </row>
    <row r="31" spans="2:19" x14ac:dyDescent="0.2">
      <c r="B31" s="3">
        <v>27000206</v>
      </c>
      <c r="C31" t="str">
        <f>_xlfn.XLOOKUP(Izpit2[[#This Row],[Vpisna]],Rezultati[Vpisna],Rezultati[Program])</f>
        <v>FIN</v>
      </c>
      <c r="D31" t="s">
        <v>19</v>
      </c>
      <c r="E31" s="13">
        <v>0.375</v>
      </c>
      <c r="F31" s="3" t="s">
        <v>22</v>
      </c>
      <c r="G31">
        <v>0</v>
      </c>
      <c r="H31">
        <v>29</v>
      </c>
      <c r="I31">
        <v>12</v>
      </c>
      <c r="J31">
        <v>29</v>
      </c>
      <c r="K31" s="14">
        <f>SUM(Izpit2[[#This Row],[HTML]:[Mathematica]])</f>
        <v>70</v>
      </c>
      <c r="M31" t="s">
        <v>21</v>
      </c>
      <c r="N31" s="3"/>
      <c r="O31" s="3"/>
      <c r="P31" s="3">
        <v>1</v>
      </c>
      <c r="Q31" s="3"/>
      <c r="R31" s="3"/>
      <c r="S31" s="3">
        <v>1</v>
      </c>
    </row>
    <row r="32" spans="2:19" x14ac:dyDescent="0.2">
      <c r="B32" s="3">
        <v>27000207</v>
      </c>
      <c r="C32" t="str">
        <f>_xlfn.XLOOKUP(Izpit2[[#This Row],[Vpisna]],Rezultati[Vpisna],Rezultati[Program])</f>
        <v>FIN</v>
      </c>
      <c r="D32" t="s">
        <v>19</v>
      </c>
      <c r="E32" s="13">
        <v>0.375</v>
      </c>
      <c r="F32" s="3" t="s">
        <v>22</v>
      </c>
      <c r="G32">
        <v>18</v>
      </c>
      <c r="H32">
        <v>4</v>
      </c>
      <c r="I32">
        <v>12</v>
      </c>
      <c r="J32">
        <v>26</v>
      </c>
      <c r="K32" s="14">
        <f>SUM(Izpit2[[#This Row],[HTML]:[Mathematica]])</f>
        <v>60</v>
      </c>
      <c r="M32" t="s">
        <v>19</v>
      </c>
      <c r="N32" s="3"/>
      <c r="O32" s="3"/>
      <c r="P32" s="3">
        <v>1</v>
      </c>
      <c r="Q32" s="3"/>
      <c r="R32" s="3"/>
      <c r="S32" s="3">
        <v>1</v>
      </c>
    </row>
    <row r="33" spans="2:19" x14ac:dyDescent="0.2">
      <c r="B33" s="3">
        <v>27000208</v>
      </c>
      <c r="C33" t="str">
        <f>_xlfn.XLOOKUP(Izpit2[[#This Row],[Vpisna]],Rezultati[Vpisna],Rezultati[Program])</f>
        <v>FIN</v>
      </c>
      <c r="D33" t="s">
        <v>19</v>
      </c>
      <c r="E33" s="13">
        <v>0.375</v>
      </c>
      <c r="F33" s="3" t="s">
        <v>24</v>
      </c>
      <c r="G33">
        <v>0</v>
      </c>
      <c r="H33">
        <v>0</v>
      </c>
      <c r="I33">
        <v>0</v>
      </c>
      <c r="J33">
        <v>0</v>
      </c>
      <c r="K33" s="14">
        <f>SUM(Izpit2[[#This Row],[HTML]:[Mathematica]])</f>
        <v>0</v>
      </c>
      <c r="M33" t="s">
        <v>26</v>
      </c>
      <c r="N33" s="3">
        <v>4</v>
      </c>
      <c r="O33" s="3">
        <v>10</v>
      </c>
      <c r="P33" s="3">
        <v>18</v>
      </c>
      <c r="Q33" s="3">
        <v>6</v>
      </c>
      <c r="R33" s="3">
        <v>2</v>
      </c>
      <c r="S33" s="3">
        <v>40</v>
      </c>
    </row>
    <row r="34" spans="2:19" x14ac:dyDescent="0.2">
      <c r="B34" s="3">
        <v>27000295</v>
      </c>
      <c r="C34" t="str">
        <f>_xlfn.XLOOKUP(Izpit2[[#This Row],[Vpisna]],Rezultati[Vpisna],Rezultati[Program])</f>
        <v>APF</v>
      </c>
      <c r="D34" t="s">
        <v>21</v>
      </c>
      <c r="E34" s="13">
        <v>0.375</v>
      </c>
      <c r="F34" s="3" t="s">
        <v>30</v>
      </c>
      <c r="G34">
        <v>0</v>
      </c>
      <c r="H34">
        <v>2</v>
      </c>
      <c r="I34">
        <v>8</v>
      </c>
      <c r="J34">
        <v>23</v>
      </c>
      <c r="K34" s="14">
        <f>SUM(Izpit2[[#This Row],[HTML]:[Mathematica]])</f>
        <v>33</v>
      </c>
    </row>
    <row r="35" spans="2:19" x14ac:dyDescent="0.2">
      <c r="B35" s="3">
        <v>27000300</v>
      </c>
      <c r="C35" t="str">
        <f>_xlfn.XLOOKUP(Izpit2[[#This Row],[Vpisna]],Rezultati[Vpisna],Rezultati[Program])</f>
        <v>MAT</v>
      </c>
      <c r="D35" t="s">
        <v>21</v>
      </c>
      <c r="E35" s="13">
        <v>0.375</v>
      </c>
      <c r="F35" s="3" t="s">
        <v>23</v>
      </c>
      <c r="G35">
        <v>20</v>
      </c>
      <c r="H35">
        <v>35</v>
      </c>
      <c r="I35">
        <v>12</v>
      </c>
      <c r="J35">
        <v>32</v>
      </c>
      <c r="K35" s="14">
        <f>SUM(Izpit2[[#This Row],[HTML]:[Mathematica]])</f>
        <v>99</v>
      </c>
    </row>
    <row r="36" spans="2:19" x14ac:dyDescent="0.2">
      <c r="B36" s="3">
        <v>27000301</v>
      </c>
      <c r="C36" t="str">
        <f>_xlfn.XLOOKUP(Izpit2[[#This Row],[Vpisna]],Rezultati[Vpisna],Rezultati[Program])</f>
        <v>MAT</v>
      </c>
      <c r="D36" t="s">
        <v>21</v>
      </c>
      <c r="E36" s="13">
        <v>0.375</v>
      </c>
      <c r="F36" s="3" t="s">
        <v>23</v>
      </c>
      <c r="G36">
        <v>18</v>
      </c>
      <c r="H36">
        <v>14</v>
      </c>
      <c r="I36">
        <v>0</v>
      </c>
      <c r="J36">
        <v>0</v>
      </c>
      <c r="K36" s="14">
        <f>SUM(Izpit2[[#This Row],[HTML]:[Mathematica]])</f>
        <v>32</v>
      </c>
    </row>
    <row r="37" spans="2:19" x14ac:dyDescent="0.2">
      <c r="B37" s="3">
        <v>27000302</v>
      </c>
      <c r="C37" t="str">
        <f>_xlfn.XLOOKUP(Izpit2[[#This Row],[Vpisna]],Rezultati[Vpisna],Rezultati[Program])</f>
        <v>MAT</v>
      </c>
      <c r="D37" t="s">
        <v>21</v>
      </c>
      <c r="E37" s="13">
        <v>0.375</v>
      </c>
      <c r="F37" s="3" t="s">
        <v>23</v>
      </c>
      <c r="G37">
        <v>17</v>
      </c>
      <c r="H37">
        <v>16</v>
      </c>
      <c r="I37">
        <v>8</v>
      </c>
      <c r="J37">
        <v>22</v>
      </c>
      <c r="K37" s="14">
        <f>SUM(Izpit2[[#This Row],[HTML]:[Mathematica]])</f>
        <v>63</v>
      </c>
    </row>
    <row r="38" spans="2:19" x14ac:dyDescent="0.2">
      <c r="B38" s="3">
        <v>27000303</v>
      </c>
      <c r="C38" t="str">
        <f>_xlfn.XLOOKUP(Izpit2[[#This Row],[Vpisna]],Rezultati[Vpisna],Rezultati[Program])</f>
        <v>MAT</v>
      </c>
      <c r="D38" t="s">
        <v>21</v>
      </c>
      <c r="E38" s="13">
        <v>0.375</v>
      </c>
      <c r="F38" s="3" t="s">
        <v>23</v>
      </c>
      <c r="G38">
        <v>12</v>
      </c>
      <c r="H38">
        <v>24</v>
      </c>
      <c r="I38">
        <v>9</v>
      </c>
      <c r="J38">
        <v>17</v>
      </c>
      <c r="K38" s="14">
        <f>SUM(Izpit2[[#This Row],[HTML]:[Mathematica]])</f>
        <v>62</v>
      </c>
    </row>
    <row r="39" spans="2:19" x14ac:dyDescent="0.2">
      <c r="B39" s="3">
        <v>27000304</v>
      </c>
      <c r="C39" t="str">
        <f>_xlfn.XLOOKUP(Izpit2[[#This Row],[Vpisna]],Rezultati[Vpisna],Rezultati[Program])</f>
        <v>MAT</v>
      </c>
      <c r="D39" t="s">
        <v>19</v>
      </c>
      <c r="E39" s="13">
        <v>0.375</v>
      </c>
      <c r="F39" s="3" t="s">
        <v>22</v>
      </c>
      <c r="G39">
        <v>19</v>
      </c>
      <c r="H39">
        <v>14</v>
      </c>
      <c r="I39">
        <v>10</v>
      </c>
      <c r="J39">
        <v>32</v>
      </c>
      <c r="K39" s="14">
        <f>SUM(Izpit2[[#This Row],[HTML]:[Mathematica]])</f>
        <v>75</v>
      </c>
    </row>
    <row r="40" spans="2:19" x14ac:dyDescent="0.2">
      <c r="B40" s="3">
        <v>27000305</v>
      </c>
      <c r="C40" t="str">
        <f>_xlfn.XLOOKUP(Izpit2[[#This Row],[Vpisna]],Rezultati[Vpisna],Rezultati[Program])</f>
        <v>MAT</v>
      </c>
      <c r="D40" t="s">
        <v>19</v>
      </c>
      <c r="E40" s="13">
        <v>0.375</v>
      </c>
      <c r="F40" s="3" t="s">
        <v>22</v>
      </c>
      <c r="G40">
        <v>10</v>
      </c>
      <c r="H40">
        <v>2</v>
      </c>
      <c r="I40">
        <v>4</v>
      </c>
      <c r="J40">
        <v>0</v>
      </c>
      <c r="K40" s="14">
        <f>SUM(Izpit2[[#This Row],[HTML]:[Mathematica]])</f>
        <v>16</v>
      </c>
    </row>
    <row r="41" spans="2:19" x14ac:dyDescent="0.2">
      <c r="B41" s="3">
        <v>27000319</v>
      </c>
      <c r="C41" t="str">
        <f>_xlfn.XLOOKUP(Izpit2[[#This Row],[Vpisna]],Rezultati[Vpisna],Rezultati[Program])</f>
        <v>PED</v>
      </c>
      <c r="D41" t="s">
        <v>21</v>
      </c>
      <c r="E41" s="13">
        <v>0.375</v>
      </c>
      <c r="F41" s="3" t="s">
        <v>23</v>
      </c>
      <c r="G41">
        <v>16</v>
      </c>
      <c r="H41">
        <v>7</v>
      </c>
      <c r="I41">
        <v>4</v>
      </c>
      <c r="J41">
        <v>20</v>
      </c>
      <c r="K41" s="14">
        <f>SUM(Izpit2[[#This Row],[HTML]:[Mathematica]])</f>
        <v>47</v>
      </c>
    </row>
    <row r="42" spans="2:19" x14ac:dyDescent="0.2">
      <c r="B42" s="3">
        <v>27000320</v>
      </c>
      <c r="C42" t="str">
        <f>_xlfn.XLOOKUP(Izpit2[[#This Row],[Vpisna]],Rezultati[Vpisna],Rezultati[Program])</f>
        <v>PED</v>
      </c>
      <c r="D42" t="s">
        <v>19</v>
      </c>
      <c r="E42" s="13">
        <v>0.375</v>
      </c>
      <c r="F42" s="3" t="s">
        <v>22</v>
      </c>
      <c r="G42">
        <v>0</v>
      </c>
      <c r="H42">
        <v>0</v>
      </c>
      <c r="I42">
        <v>0</v>
      </c>
      <c r="J42">
        <v>0</v>
      </c>
      <c r="K42" s="14">
        <f>SUM(Izpit2[[#This Row],[HTML]:[Mathematica]])</f>
        <v>0</v>
      </c>
    </row>
    <row r="75" spans="13:18" x14ac:dyDescent="0.2">
      <c r="M75" s="15" t="s">
        <v>25</v>
      </c>
      <c r="N75" s="16"/>
      <c r="O75" s="16"/>
      <c r="P75" s="16"/>
      <c r="Q75" s="16"/>
      <c r="R75" s="16"/>
    </row>
    <row r="76" spans="13:18" x14ac:dyDescent="0.2">
      <c r="M76" s="16" t="s">
        <v>9</v>
      </c>
      <c r="N76" s="16" t="s">
        <v>10</v>
      </c>
      <c r="O76" s="16" t="s">
        <v>11</v>
      </c>
      <c r="P76" s="16" t="s">
        <v>12</v>
      </c>
      <c r="Q76" s="16" t="s">
        <v>13</v>
      </c>
      <c r="R76" s="16" t="s">
        <v>26</v>
      </c>
    </row>
    <row r="86" spans="13:19" x14ac:dyDescent="0.2">
      <c r="N86" s="4" t="s">
        <v>25</v>
      </c>
    </row>
    <row r="87" spans="13:19" x14ac:dyDescent="0.2">
      <c r="N87" t="s">
        <v>9</v>
      </c>
      <c r="O87" t="s">
        <v>10</v>
      </c>
      <c r="P87" t="s">
        <v>11</v>
      </c>
      <c r="Q87" t="s">
        <v>12</v>
      </c>
      <c r="R87" t="s">
        <v>13</v>
      </c>
      <c r="S87" t="s">
        <v>26</v>
      </c>
    </row>
    <row r="88" spans="13:19" x14ac:dyDescent="0.2">
      <c r="M88" t="s">
        <v>28</v>
      </c>
      <c r="N88" s="17">
        <v>46</v>
      </c>
      <c r="O88" s="17">
        <v>99</v>
      </c>
      <c r="P88" s="17">
        <v>98.5</v>
      </c>
      <c r="Q88" s="17">
        <v>100</v>
      </c>
      <c r="R88" s="17">
        <v>99</v>
      </c>
      <c r="S88" s="17">
        <v>100</v>
      </c>
    </row>
  </sheetData>
  <phoneticPr fontId="3" type="noConversion"/>
  <pageMargins left="1" right="1" top="1" bottom="1" header="0.5" footer="0.5"/>
  <pageSetup paperSize="9" fitToHeight="2" orientation="portrait" horizontalDpi="0" verticalDpi="0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37AE-CE19-3E4C-9D08-BDCC170958C2}">
  <dimension ref="B2:P18"/>
  <sheetViews>
    <sheetView zoomScale="150" zoomScaleNormal="150" workbookViewId="0">
      <selection activeCell="B6" sqref="B6"/>
    </sheetView>
  </sheetViews>
  <sheetFormatPr baseColWidth="10" defaultColWidth="11.5" defaultRowHeight="15" x14ac:dyDescent="0.2"/>
  <cols>
    <col min="1" max="1" width="11.5" bestFit="1" customWidth="1"/>
    <col min="2" max="2" width="10.1640625" bestFit="1" customWidth="1"/>
    <col min="3" max="3" width="9.1640625" style="1" bestFit="1" customWidth="1"/>
    <col min="4" max="4" width="12" style="1" bestFit="1" customWidth="1"/>
    <col min="5" max="5" width="9.1640625" style="10" bestFit="1" customWidth="1"/>
    <col min="6" max="6" width="9.6640625" style="1" bestFit="1" customWidth="1"/>
    <col min="7" max="8" width="8.1640625" style="1" bestFit="1" customWidth="1"/>
    <col min="9" max="9" width="7.6640625" style="1" bestFit="1" customWidth="1"/>
    <col min="10" max="10" width="14" style="2" bestFit="1" customWidth="1"/>
    <col min="11" max="11" width="8.5" bestFit="1" customWidth="1"/>
    <col min="12" max="12" width="11.5" customWidth="1"/>
    <col min="13" max="13" width="13" bestFit="1" customWidth="1"/>
    <col min="14" max="14" width="4.1640625" bestFit="1" customWidth="1"/>
    <col min="15" max="15" width="5" bestFit="1" customWidth="1"/>
    <col min="16" max="16" width="3.6640625" bestFit="1" customWidth="1"/>
    <col min="17" max="17" width="4.83203125" bestFit="1" customWidth="1"/>
    <col min="18" max="18" width="4.1640625" bestFit="1" customWidth="1"/>
    <col min="19" max="19" width="10" customWidth="1"/>
    <col min="20" max="20" width="10.33203125" customWidth="1"/>
    <col min="21" max="21" width="12.1640625" bestFit="1" customWidth="1"/>
    <col min="22" max="22" width="10.33203125" bestFit="1" customWidth="1"/>
    <col min="23" max="23" width="12.1640625" bestFit="1" customWidth="1"/>
    <col min="24" max="24" width="14.5" bestFit="1" customWidth="1"/>
    <col min="25" max="25" width="16.5" bestFit="1" customWidth="1"/>
    <col min="26" max="26" width="4.6640625" bestFit="1" customWidth="1"/>
    <col min="27" max="27" width="9" bestFit="1" customWidth="1"/>
    <col min="28" max="28" width="6.6640625" bestFit="1" customWidth="1"/>
    <col min="29" max="30" width="4.6640625" bestFit="1" customWidth="1"/>
    <col min="31" max="31" width="8.33203125" bestFit="1" customWidth="1"/>
    <col min="32" max="32" width="10" bestFit="1" customWidth="1"/>
  </cols>
  <sheetData>
    <row r="2" spans="2:16" x14ac:dyDescent="0.2">
      <c r="B2" t="s">
        <v>29</v>
      </c>
      <c r="C2" t="s">
        <v>14</v>
      </c>
      <c r="D2" t="s">
        <v>41</v>
      </c>
      <c r="E2" s="13" t="s">
        <v>42</v>
      </c>
      <c r="F2" t="s">
        <v>43</v>
      </c>
      <c r="G2" t="s">
        <v>15</v>
      </c>
      <c r="H2" t="s">
        <v>16</v>
      </c>
      <c r="I2" t="s">
        <v>17</v>
      </c>
      <c r="J2" t="s">
        <v>18</v>
      </c>
      <c r="K2" t="s">
        <v>46</v>
      </c>
    </row>
    <row r="3" spans="2:16" x14ac:dyDescent="0.2">
      <c r="B3" s="11">
        <v>27000002</v>
      </c>
      <c r="C3" t="str">
        <f>_xlfn.XLOOKUP(Izpit3[[#This Row],[Vpisna]],Rezultati[Vpisna],Rezultati[Program])</f>
        <v>FIN</v>
      </c>
      <c r="D3" t="s">
        <v>19</v>
      </c>
      <c r="E3" s="13">
        <v>0.375</v>
      </c>
      <c r="F3" s="3" t="s">
        <v>23</v>
      </c>
      <c r="G3">
        <v>14</v>
      </c>
      <c r="H3">
        <v>18</v>
      </c>
      <c r="I3">
        <v>19</v>
      </c>
      <c r="J3">
        <v>21</v>
      </c>
      <c r="K3" s="14">
        <f>SUM(Izpit3[[#This Row],[HTML]:[Mathematica]])</f>
        <v>72</v>
      </c>
    </row>
    <row r="4" spans="2:16" x14ac:dyDescent="0.2">
      <c r="B4" s="11">
        <v>27000007</v>
      </c>
      <c r="C4" t="str">
        <f>_xlfn.XLOOKUP(Izpit3[[#This Row],[Vpisna]],Rezultati[Vpisna],Rezultati[Program])</f>
        <v>MAT</v>
      </c>
      <c r="D4" t="s">
        <v>21</v>
      </c>
      <c r="E4" s="13">
        <v>0.375</v>
      </c>
      <c r="F4" s="3" t="s">
        <v>23</v>
      </c>
      <c r="G4">
        <v>14</v>
      </c>
      <c r="H4">
        <v>14</v>
      </c>
      <c r="I4">
        <v>24</v>
      </c>
      <c r="J4">
        <v>0</v>
      </c>
      <c r="K4" s="14">
        <f>SUM(Izpit3[[#This Row],[HTML]:[Mathematica]])</f>
        <v>52</v>
      </c>
    </row>
    <row r="5" spans="2:16" x14ac:dyDescent="0.2">
      <c r="B5" s="11">
        <v>27000029</v>
      </c>
      <c r="C5" t="str">
        <f>_xlfn.XLOOKUP(Izpit3[[#This Row],[Vpisna]],Rezultati[Vpisna],Rezultati[Program])</f>
        <v>MAT</v>
      </c>
      <c r="D5" t="s">
        <v>21</v>
      </c>
      <c r="E5" s="13">
        <v>0.375</v>
      </c>
      <c r="F5" s="3" t="s">
        <v>23</v>
      </c>
      <c r="G5">
        <v>2</v>
      </c>
      <c r="H5">
        <v>8</v>
      </c>
      <c r="I5">
        <v>0</v>
      </c>
      <c r="J5">
        <v>18</v>
      </c>
      <c r="K5" s="14">
        <f>SUM(Izpit3[[#This Row],[HTML]:[Mathematica]])</f>
        <v>28</v>
      </c>
    </row>
    <row r="6" spans="2:16" x14ac:dyDescent="0.2">
      <c r="B6" s="11">
        <v>27000083</v>
      </c>
      <c r="C6" t="str">
        <f>_xlfn.XLOOKUP(Izpit3[[#This Row],[Vpisna]],Rezultati[Vpisna],Rezultati[Program])</f>
        <v>APM</v>
      </c>
      <c r="D6" t="s">
        <v>21</v>
      </c>
      <c r="E6" s="13">
        <v>0.375</v>
      </c>
      <c r="F6" s="3" t="s">
        <v>23</v>
      </c>
      <c r="G6">
        <v>0</v>
      </c>
      <c r="H6">
        <v>0</v>
      </c>
      <c r="I6">
        <v>0</v>
      </c>
      <c r="J6">
        <v>0</v>
      </c>
      <c r="K6" s="14">
        <f>SUM(Izpit3[[#This Row],[HTML]:[Mathematica]])</f>
        <v>0</v>
      </c>
    </row>
    <row r="7" spans="2:16" x14ac:dyDescent="0.2">
      <c r="B7" s="11">
        <v>27000135</v>
      </c>
      <c r="C7" t="str">
        <f>_xlfn.XLOOKUP(Izpit3[[#This Row],[Vpisna]],Rezultati[Vpisna],Rezultati[Program])</f>
        <v>MAT</v>
      </c>
      <c r="D7" t="s">
        <v>21</v>
      </c>
      <c r="E7" s="13">
        <v>0.375</v>
      </c>
      <c r="F7" s="3" t="s">
        <v>23</v>
      </c>
      <c r="G7">
        <v>12</v>
      </c>
      <c r="H7">
        <v>2</v>
      </c>
      <c r="I7">
        <v>25</v>
      </c>
      <c r="J7">
        <v>0</v>
      </c>
      <c r="K7" s="14">
        <f>SUM(Izpit3[[#This Row],[HTML]:[Mathematica]])</f>
        <v>39</v>
      </c>
    </row>
    <row r="8" spans="2:16" x14ac:dyDescent="0.2">
      <c r="B8" s="11">
        <v>27000264</v>
      </c>
      <c r="C8" t="str">
        <f>_xlfn.XLOOKUP(Izpit3[[#This Row],[Vpisna]],Rezultati[Vpisna],Rezultati[Program])</f>
        <v>MAT</v>
      </c>
      <c r="D8" t="s">
        <v>19</v>
      </c>
      <c r="E8" s="13">
        <v>0.375</v>
      </c>
      <c r="F8" s="3" t="s">
        <v>23</v>
      </c>
      <c r="G8">
        <v>12</v>
      </c>
      <c r="H8">
        <v>25</v>
      </c>
      <c r="I8">
        <v>21</v>
      </c>
      <c r="J8">
        <v>20</v>
      </c>
      <c r="K8" s="14">
        <f>SUM(Izpit3[[#This Row],[HTML]:[Mathematica]])</f>
        <v>78</v>
      </c>
    </row>
    <row r="9" spans="2:16" x14ac:dyDescent="0.2">
      <c r="B9" s="11">
        <v>27000272</v>
      </c>
      <c r="C9" t="str">
        <f>_xlfn.XLOOKUP(Izpit3[[#This Row],[Vpisna]],Rezultati[Vpisna],Rezultati[Program])</f>
        <v>APF</v>
      </c>
      <c r="D9" t="s">
        <v>21</v>
      </c>
      <c r="E9" s="13">
        <v>0.375</v>
      </c>
      <c r="F9" s="3" t="s">
        <v>23</v>
      </c>
      <c r="G9">
        <v>12</v>
      </c>
      <c r="H9">
        <v>0</v>
      </c>
      <c r="I9">
        <v>23</v>
      </c>
      <c r="J9">
        <v>14</v>
      </c>
      <c r="K9" s="14">
        <f>SUM(Izpit3[[#This Row],[HTML]:[Mathematica]])</f>
        <v>49</v>
      </c>
    </row>
    <row r="10" spans="2:16" x14ac:dyDescent="0.2">
      <c r="B10" s="11">
        <v>27000279</v>
      </c>
      <c r="C10" t="str">
        <f>_xlfn.XLOOKUP(Izpit3[[#This Row],[Vpisna]],Rezultati[Vpisna],Rezultati[Program])</f>
        <v>APF</v>
      </c>
      <c r="D10" t="s">
        <v>21</v>
      </c>
      <c r="E10" s="13">
        <v>0.375</v>
      </c>
      <c r="F10" s="3" t="s">
        <v>23</v>
      </c>
      <c r="G10">
        <v>0</v>
      </c>
      <c r="H10">
        <v>6</v>
      </c>
      <c r="I10">
        <v>18</v>
      </c>
      <c r="J10">
        <v>0</v>
      </c>
      <c r="K10" s="14">
        <f>SUM(Izpit3[[#This Row],[HTML]:[Mathematica]])</f>
        <v>24</v>
      </c>
    </row>
    <row r="11" spans="2:16" x14ac:dyDescent="0.2">
      <c r="B11" s="11">
        <v>27000295</v>
      </c>
      <c r="C11" t="str">
        <f>_xlfn.XLOOKUP(Izpit3[[#This Row],[Vpisna]],Rezultati[Vpisna],Rezultati[Program])</f>
        <v>APF</v>
      </c>
      <c r="D11" t="s">
        <v>21</v>
      </c>
      <c r="E11" s="13">
        <v>0.375</v>
      </c>
      <c r="F11" s="3" t="s">
        <v>23</v>
      </c>
      <c r="G11">
        <v>0</v>
      </c>
      <c r="H11">
        <v>18</v>
      </c>
      <c r="I11">
        <v>15</v>
      </c>
      <c r="J11">
        <v>4</v>
      </c>
      <c r="K11" s="14">
        <f>SUM(Izpit3[[#This Row],[HTML]:[Mathematica]])</f>
        <v>37</v>
      </c>
      <c r="O11" s="3"/>
      <c r="P11" s="3"/>
    </row>
    <row r="12" spans="2:16" x14ac:dyDescent="0.2">
      <c r="B12" s="11">
        <v>27000301</v>
      </c>
      <c r="C12" t="str">
        <f>_xlfn.XLOOKUP(Izpit3[[#This Row],[Vpisna]],Rezultati[Vpisna],Rezultati[Program])</f>
        <v>MAT</v>
      </c>
      <c r="D12" t="s">
        <v>19</v>
      </c>
      <c r="E12" s="13">
        <v>0.375</v>
      </c>
      <c r="F12" s="3" t="s">
        <v>23</v>
      </c>
      <c r="G12">
        <v>0</v>
      </c>
      <c r="H12">
        <v>0</v>
      </c>
      <c r="I12">
        <v>0</v>
      </c>
      <c r="J12">
        <v>0</v>
      </c>
      <c r="K12" s="14">
        <f>SUM(Izpit3[[#This Row],[HTML]:[Mathematica]])</f>
        <v>0</v>
      </c>
      <c r="N12" s="9"/>
    </row>
    <row r="13" spans="2:16" x14ac:dyDescent="0.2">
      <c r="N13" s="9"/>
    </row>
    <row r="15" spans="2:16" x14ac:dyDescent="0.2">
      <c r="N15" s="9"/>
      <c r="O15" s="3"/>
      <c r="P15" s="3"/>
    </row>
    <row r="16" spans="2:16" x14ac:dyDescent="0.2">
      <c r="N16" s="9"/>
    </row>
    <row r="17" spans="15:16" x14ac:dyDescent="0.2">
      <c r="O17" s="3"/>
      <c r="P17" s="3"/>
    </row>
    <row r="18" spans="15:16" x14ac:dyDescent="0.2">
      <c r="P18" s="3"/>
    </row>
  </sheetData>
  <phoneticPr fontId="3" type="noConversion"/>
  <pageMargins left="1" right="1" top="1" bottom="1" header="0.5" footer="0.5"/>
  <pageSetup paperSize="9" fitToHeight="2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D8BBFECAE104D91A1E8F0C4EC6775" ma:contentTypeVersion="13" ma:contentTypeDescription="Create a new document." ma:contentTypeScope="" ma:versionID="59e42017601f8ab466a690c5477cb2d0">
  <xsd:schema xmlns:xsd="http://www.w3.org/2001/XMLSchema" xmlns:xs="http://www.w3.org/2001/XMLSchema" xmlns:p="http://schemas.microsoft.com/office/2006/metadata/properties" xmlns:ns2="d8b8dd46-9333-45ef-b8a5-0729286f3c7b" xmlns:ns3="e46ee942-8a9f-4d24-9a10-3b357d374b81" targetNamespace="http://schemas.microsoft.com/office/2006/metadata/properties" ma:root="true" ma:fieldsID="8579224fc0b3c9bcb337d88c9a3edfb1" ns2:_="" ns3:_="">
    <xsd:import namespace="d8b8dd46-9333-45ef-b8a5-0729286f3c7b"/>
    <xsd:import namespace="e46ee942-8a9f-4d24-9a10-3b357d374b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8dd46-9333-45ef-b8a5-0729286f3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c7bf33-a257-4e00-9403-561934745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ee942-8a9f-4d24-9a10-3b357d374b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7583404-a6ab-4ef7-9e89-960b8ff403f0}" ma:internalName="TaxCatchAll" ma:showField="CatchAllData" ma:web="e46ee942-8a9f-4d24-9a10-3b357d374b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46ee942-8a9f-4d24-9a10-3b357d374b81">
      <UserInfo>
        <DisplayName>Rojec, Matej</DisplayName>
        <AccountId>20</AccountId>
        <AccountType/>
      </UserInfo>
      <UserInfo>
        <DisplayName>Todorovski, Ljupčo</DisplayName>
        <AccountId>12</AccountId>
        <AccountType/>
      </UserInfo>
      <UserInfo>
        <DisplayName>Zaveršnik, Matjaž</DisplayName>
        <AccountId>29</AccountId>
        <AccountType/>
      </UserInfo>
      <UserInfo>
        <DisplayName>Abraham, Maja</DisplayName>
        <AccountId>26</AccountId>
        <AccountType/>
      </UserInfo>
    </SharedWithUsers>
    <TaxCatchAll xmlns="e46ee942-8a9f-4d24-9a10-3b357d374b81" xsi:nil="true"/>
    <lcf76f155ced4ddcb4097134ff3c332f xmlns="d8b8dd46-9333-45ef-b8a5-0729286f3c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21939-952B-423F-8105-00EDC2B30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20DFC-E532-440F-8E2C-4655D6E66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8dd46-9333-45ef-b8a5-0729286f3c7b"/>
    <ds:schemaRef ds:uri="e46ee942-8a9f-4d24-9a10-3b357d374b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0AFC69-EC50-4681-865E-72E79B608E78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d8b8dd46-9333-45ef-b8a5-0729286f3c7b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46ee942-8a9f-4d24-9a10-3b357d374b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Rezultati</vt:lpstr>
      <vt:lpstr>Analiza</vt:lpstr>
      <vt:lpstr>DN</vt:lpstr>
      <vt:lpstr>I1</vt:lpstr>
      <vt:lpstr>I2</vt:lpstr>
      <vt:lpstr>I3</vt:lpstr>
      <vt:lpstr>'I1'!Print_Area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Pretnar, Matija</cp:lastModifiedBy>
  <cp:revision/>
  <dcterms:created xsi:type="dcterms:W3CDTF">2022-11-28T14:04:54Z</dcterms:created>
  <dcterms:modified xsi:type="dcterms:W3CDTF">2026-01-05T10:54:36Z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0x010100B47D8BBFECAE104D91A1E8F0C4EC6775</vt:lpwstr>
  </property>
  <property fmtid="{D5CDD505-2E9C-101B-9397-08002B2CF9AE}" pid="3" name="MediaServiceImageTags">
    <vt:lpwstr/>
  </property>
</Properties>
</file>